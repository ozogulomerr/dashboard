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lktfs\Aktif Pasif Yonetimi\Aktif Pasif\PARA PİYASALARI\Reports\APKO\APKO Veriler\github_excels\"/>
    </mc:Choice>
  </mc:AlternateContent>
  <xr:revisionPtr revIDLastSave="0" documentId="13_ncr:1_{EF96C3BD-07FA-4900-93B2-CDDECD4DFF05}" xr6:coauthVersionLast="47" xr6:coauthVersionMax="47" xr10:uidLastSave="{00000000-0000-0000-0000-000000000000}"/>
  <bookViews>
    <workbookView xWindow="28710" yWindow="-16440" windowWidth="29040" windowHeight="15720" tabRatio="810" xr2:uid="{00000000-000D-0000-FFFF-FFFF00000000}"/>
  </bookViews>
  <sheets>
    <sheet name="Veri_Aylık" sheetId="9" r:id="rId1"/>
  </sheets>
  <definedNames>
    <definedName name="SpreadsheetBuilder_2" hidden="1">#REF!</definedName>
    <definedName name="SpreadsheetBuilder_4" hidden="1">#REF!</definedName>
    <definedName name="SpreadsheetBuilder_8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9" l="1"/>
  <c r="E63" i="9"/>
  <c r="D62" i="9"/>
  <c r="E62" i="9"/>
  <c r="E13" i="9"/>
  <c r="E12" i="9"/>
  <c r="E11" i="9"/>
  <c r="E10" i="9"/>
  <c r="E9" i="9"/>
  <c r="E8" i="9"/>
  <c r="E7" i="9"/>
  <c r="E6" i="9"/>
  <c r="E5" i="9"/>
  <c r="E4" i="9"/>
  <c r="E3" i="9"/>
  <c r="E2" i="9"/>
  <c r="E22" i="9"/>
  <c r="E14" i="9"/>
  <c r="E15" i="9"/>
  <c r="E16" i="9"/>
  <c r="E17" i="9"/>
  <c r="E18" i="9"/>
  <c r="E19" i="9"/>
  <c r="E20" i="9"/>
  <c r="E21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D52" i="9"/>
  <c r="D53" i="9"/>
  <c r="D54" i="9"/>
  <c r="D55" i="9"/>
  <c r="D56" i="9"/>
  <c r="D57" i="9"/>
  <c r="D58" i="9"/>
  <c r="D59" i="9"/>
  <c r="D60" i="9"/>
  <c r="D61" i="9"/>
  <c r="D51" i="9"/>
  <c r="D50" i="9" l="1"/>
  <c r="D49" i="9" l="1"/>
  <c r="D48" i="9" l="1"/>
  <c r="D47" i="9" l="1"/>
  <c r="D46" i="9" l="1"/>
  <c r="D45" i="9" l="1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</calcChain>
</file>

<file path=xl/sharedStrings.xml><?xml version="1.0" encoding="utf-8"?>
<sst xmlns="http://schemas.openxmlformats.org/spreadsheetml/2006/main" count="13" uniqueCount="6">
  <si>
    <t xml:space="preserve"> </t>
  </si>
  <si>
    <t>Tarih</t>
  </si>
  <si>
    <t>Faiz Dışı Nakit Denge Aylık</t>
  </si>
  <si>
    <t>Nakit Dengesi Yıllık</t>
  </si>
  <si>
    <t>Nakit Dengesi Aylık</t>
  </si>
  <si>
    <t>Faiz Dışı Nakit Denge Yıllık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</si>
</sst>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T_L_-;\-* #,##0.00\ _T_L_-;_-* &quot;-&quot;??\ _T_L_-;_-@_-"/>
    <numFmt numFmtId="165" formatCode="[$-41F]mmmm\ yy;@"/>
    <numFmt numFmtId="166" formatCode="#."/>
    <numFmt numFmtId="167" formatCode="mmm"/>
  </numFmts>
  <fonts count="1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name val="Courier"/>
      <family val="1"/>
      <charset val="162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theme="1"/>
      <name val="Arial"/>
      <family val="2"/>
      <charset val="162"/>
    </font>
    <font>
      <sz val="10"/>
      <name val="Arial"/>
      <family val="2"/>
      <charset val="162"/>
    </font>
    <font>
      <sz val="10"/>
      <name val="MS Sans Serif"/>
      <family val="2"/>
      <charset val="162"/>
    </font>
    <font>
      <sz val="10"/>
      <name val="Arial Tur"/>
      <charset val="162"/>
    </font>
    <font>
      <sz val="10"/>
      <name val="Times New Roman"/>
      <family val="1"/>
      <charset val="162"/>
    </font>
    <font>
      <sz val="1"/>
      <color indexed="16"/>
      <name val="Courier"/>
      <family val="1"/>
      <charset val="162"/>
    </font>
    <font>
      <sz val="18"/>
      <color theme="1" tint="0.1499679555650502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</borders>
  <cellStyleXfs count="37">
    <xf numFmtId="0" fontId="0" fillId="0" borderId="0"/>
    <xf numFmtId="0" fontId="2" fillId="0" borderId="0"/>
    <xf numFmtId="0" fontId="4" fillId="0" borderId="0"/>
    <xf numFmtId="0" fontId="4" fillId="0" borderId="0">
      <alignment vertical="center"/>
    </xf>
    <xf numFmtId="0" fontId="7" fillId="0" borderId="0"/>
    <xf numFmtId="0" fontId="3" fillId="0" borderId="0">
      <alignment vertical="center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7" fontId="12" fillId="0" borderId="1">
      <alignment horizontal="right" vertical="center" wrapText="1" indent="1"/>
    </xf>
    <xf numFmtId="0" fontId="4" fillId="0" borderId="0"/>
    <xf numFmtId="0" fontId="10" fillId="0" borderId="0"/>
    <xf numFmtId="0" fontId="4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4" fillId="0" borderId="0"/>
    <xf numFmtId="38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>
      <alignment vertical="center"/>
    </xf>
  </cellStyleXfs>
  <cellXfs count="6">
    <xf numFmtId="0" fontId="0" fillId="0" borderId="0" xfId="0"/>
    <xf numFmtId="165" fontId="6" fillId="0" borderId="0" xfId="0" applyNumberFormat="1" applyFont="1" applyAlignment="1">
      <alignment horizontal="center" vertical="center"/>
    </xf>
    <xf numFmtId="3" fontId="5" fillId="0" borderId="0" xfId="3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</cellXfs>
  <cellStyles count="37">
    <cellStyle name="Comma 2" xfId="35" xr:uid="{BCFA1F88-1B6C-4F1B-A6F0-9F48C80A681C}"/>
    <cellStyle name="f‰H_x0010_‹Ëf‰h,ÿt$_x0018_è¸Wÿÿé&gt;Ëÿÿ÷Ç_x0001_" xfId="5" xr:uid="{00000000-0005-0000-0000-000002000000}"/>
    <cellStyle name="f‰H_x0010_‹Ëf‰h,ÿt$_x0018_è¸Wÿÿé&gt;Ëÿÿ÷Ç_x0001_ 2" xfId="3" xr:uid="{00000000-0005-0000-0000-000003000000}"/>
    <cellStyle name="F2" xfId="6" xr:uid="{00000000-0005-0000-0000-000004000000}"/>
    <cellStyle name="F3" xfId="7" xr:uid="{00000000-0005-0000-0000-000005000000}"/>
    <cellStyle name="F4" xfId="8" xr:uid="{00000000-0005-0000-0000-000006000000}"/>
    <cellStyle name="F5" xfId="9" xr:uid="{00000000-0005-0000-0000-000007000000}"/>
    <cellStyle name="F6" xfId="10" xr:uid="{00000000-0005-0000-0000-000008000000}"/>
    <cellStyle name="F7" xfId="11" xr:uid="{00000000-0005-0000-0000-000009000000}"/>
    <cellStyle name="F8" xfId="12" xr:uid="{00000000-0005-0000-0000-00000A000000}"/>
    <cellStyle name="Month" xfId="13" xr:uid="{00000000-0005-0000-0000-00000B000000}"/>
    <cellStyle name="Normal" xfId="0" builtinId="0"/>
    <cellStyle name="Normal 18" xfId="2" xr:uid="{00000000-0005-0000-0000-00000D000000}"/>
    <cellStyle name="Normal 2" xfId="14" xr:uid="{00000000-0005-0000-0000-00000E000000}"/>
    <cellStyle name="Normal 2 2" xfId="15" xr:uid="{00000000-0005-0000-0000-00000F000000}"/>
    <cellStyle name="Normal 2 2 2" xfId="16" xr:uid="{00000000-0005-0000-0000-000010000000}"/>
    <cellStyle name="Normal 2 3" xfId="17" xr:uid="{00000000-0005-0000-0000-000011000000}"/>
    <cellStyle name="Normal 3" xfId="18" xr:uid="{00000000-0005-0000-0000-000012000000}"/>
    <cellStyle name="Normal 3 2" xfId="19" xr:uid="{00000000-0005-0000-0000-000013000000}"/>
    <cellStyle name="Normal 4" xfId="1" xr:uid="{00000000-0005-0000-0000-000014000000}"/>
    <cellStyle name="Normal 4 2" xfId="21" xr:uid="{00000000-0005-0000-0000-000015000000}"/>
    <cellStyle name="Normal 4 3" xfId="20" xr:uid="{00000000-0005-0000-0000-000016000000}"/>
    <cellStyle name="Normal 5" xfId="22" xr:uid="{00000000-0005-0000-0000-000017000000}"/>
    <cellStyle name="Normal 5 2" xfId="23" xr:uid="{00000000-0005-0000-0000-000018000000}"/>
    <cellStyle name="Normal 6" xfId="4" xr:uid="{00000000-0005-0000-0000-000019000000}"/>
    <cellStyle name="Normal 9" xfId="36" xr:uid="{8D7B13D7-0FBC-4488-93D9-6ED80B835AB3}"/>
    <cellStyle name="Virgül [0]_08-01" xfId="24" xr:uid="{00000000-0005-0000-0000-00001C000000}"/>
    <cellStyle name="Virgül 10" xfId="25" xr:uid="{00000000-0005-0000-0000-00001D000000}"/>
    <cellStyle name="Virgül 2" xfId="26" xr:uid="{00000000-0005-0000-0000-00001E000000}"/>
    <cellStyle name="Virgül 3" xfId="27" xr:uid="{00000000-0005-0000-0000-00001F000000}"/>
    <cellStyle name="Virgül 4" xfId="28" xr:uid="{00000000-0005-0000-0000-000020000000}"/>
    <cellStyle name="Virgül 5" xfId="29" xr:uid="{00000000-0005-0000-0000-000021000000}"/>
    <cellStyle name="Virgül 6" xfId="30" xr:uid="{00000000-0005-0000-0000-000022000000}"/>
    <cellStyle name="Virgül 7" xfId="31" xr:uid="{00000000-0005-0000-0000-000023000000}"/>
    <cellStyle name="Virgül 8" xfId="32" xr:uid="{00000000-0005-0000-0000-000024000000}"/>
    <cellStyle name="Virgül 9" xfId="33" xr:uid="{00000000-0005-0000-0000-000025000000}"/>
    <cellStyle name="Yüzde 2" xfId="34" xr:uid="{00000000-0005-0000-0000-000026000000}"/>
  </cellStyles>
  <dxfs count="0"/>
  <tableStyles count="0" defaultTableStyle="TableStyleMedium2" defaultPivotStyle="PivotStyleLight16"/>
  <colors>
    <mruColors>
      <color rgb="FF177D91"/>
      <color rgb="FF368B9C"/>
      <color rgb="FFEA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zoomScale="150" zoomScaleNormal="90" workbookViewId="0">
      <pane ySplit="1" topLeftCell="A53" activePane="bottomLeft" state="frozen"/>
      <selection pane="bottomLeft" activeCell="C71" sqref="C71"/>
    </sheetView>
  </sheetViews>
  <sheetFormatPr defaultColWidth="8.77734375" defaultRowHeight="10.199999999999999" x14ac:dyDescent="0.3"/>
  <cols>
    <col min="1" max="1" width="9.77734375" style="3" bestFit="1" customWidth="1"/>
    <col min="2" max="2" width="20.6640625" style="3" bestFit="1" customWidth="1"/>
    <col min="3" max="3" width="15" style="3" customWidth="1"/>
    <col min="4" max="4" width="15.109375" style="3" bestFit="1" customWidth="1"/>
    <col min="5" max="5" width="17.109375" style="3" bestFit="1" customWidth="1"/>
    <col min="6" max="16384" width="8.77734375" style="3"/>
  </cols>
  <sheetData>
    <row r="1" spans="1:5" x14ac:dyDescent="0.3">
      <c r="A1" s="3" t="s">
        <v>1</v>
      </c>
      <c r="B1" s="4" t="s">
        <v>2</v>
      </c>
      <c r="C1" s="4" t="s">
        <v>4</v>
      </c>
      <c r="D1" s="4" t="s">
        <v>3</v>
      </c>
      <c r="E1" s="3" t="s">
        <v>5</v>
      </c>
    </row>
    <row r="2" spans="1:5" x14ac:dyDescent="0.3">
      <c r="A2" s="1">
        <v>44196</v>
      </c>
      <c r="B2" s="2">
        <v>-43763.57</v>
      </c>
      <c r="C2" s="2">
        <v>-46826.7</v>
      </c>
      <c r="D2" s="2">
        <f>SUM(C2:C2)</f>
        <v>-46826.7</v>
      </c>
      <c r="E2" s="2">
        <f>SUM(B2)</f>
        <v>-43763.57</v>
      </c>
    </row>
    <row r="3" spans="1:5" x14ac:dyDescent="0.3">
      <c r="A3" s="1">
        <v>44227</v>
      </c>
      <c r="B3" s="2">
        <v>-5084.58</v>
      </c>
      <c r="C3" s="2">
        <v>-26152.74</v>
      </c>
      <c r="D3" s="2">
        <f>SUM(C2:C3)</f>
        <v>-72979.44</v>
      </c>
      <c r="E3" s="5">
        <f>SUM(B2:B3)</f>
        <v>-48848.15</v>
      </c>
    </row>
    <row r="4" spans="1:5" x14ac:dyDescent="0.3">
      <c r="A4" s="1">
        <v>44255</v>
      </c>
      <c r="B4" s="2">
        <v>7784.98</v>
      </c>
      <c r="C4" s="2">
        <v>-3560.1</v>
      </c>
      <c r="D4" s="2">
        <f>SUM(C2:C4)</f>
        <v>-76539.540000000008</v>
      </c>
      <c r="E4" s="5">
        <f>SUM(B2:B4)</f>
        <v>-41063.17</v>
      </c>
    </row>
    <row r="5" spans="1:5" x14ac:dyDescent="0.3">
      <c r="A5" s="1">
        <v>44286</v>
      </c>
      <c r="B5" s="2">
        <v>53591.62</v>
      </c>
      <c r="C5" s="2">
        <v>40976.959999999999</v>
      </c>
      <c r="D5" s="2">
        <f>SUM(C2:C5)</f>
        <v>-35562.580000000009</v>
      </c>
      <c r="E5" s="5">
        <f>SUM(B2:B5)</f>
        <v>12528.450000000004</v>
      </c>
    </row>
    <row r="6" spans="1:5" x14ac:dyDescent="0.3">
      <c r="A6" s="1">
        <v>44316</v>
      </c>
      <c r="B6" s="2">
        <v>-1478.44</v>
      </c>
      <c r="C6" s="2">
        <v>-13313.58</v>
      </c>
      <c r="D6" s="2">
        <f>SUM(C2:C6)</f>
        <v>-48876.160000000011</v>
      </c>
      <c r="E6" s="5">
        <f>SUM(B2:B6)</f>
        <v>11050.010000000004</v>
      </c>
    </row>
    <row r="7" spans="1:5" x14ac:dyDescent="0.3">
      <c r="A7" s="1">
        <v>44347</v>
      </c>
      <c r="B7" s="2">
        <v>-18184.07</v>
      </c>
      <c r="C7" s="2">
        <v>-29107.200000000001</v>
      </c>
      <c r="D7" s="2">
        <f>SUM(C2:C7)</f>
        <v>-77983.360000000015</v>
      </c>
      <c r="E7" s="5">
        <f>SUM(B2:B7)</f>
        <v>-7134.0599999999959</v>
      </c>
    </row>
    <row r="8" spans="1:5" x14ac:dyDescent="0.3">
      <c r="A8" s="1">
        <v>44377</v>
      </c>
      <c r="B8" s="2">
        <v>-557.6</v>
      </c>
      <c r="C8" s="2">
        <v>-7228.28</v>
      </c>
      <c r="D8" s="2">
        <f>SUM(C2:C8)</f>
        <v>-85211.640000000014</v>
      </c>
      <c r="E8" s="5">
        <f>SUM(B2:B8)</f>
        <v>-7691.6599999999962</v>
      </c>
    </row>
    <row r="9" spans="1:5" x14ac:dyDescent="0.3">
      <c r="A9" s="1">
        <v>44408</v>
      </c>
      <c r="B9" s="2">
        <v>-46315.16</v>
      </c>
      <c r="C9" s="2">
        <v>-68011.27</v>
      </c>
      <c r="D9" s="2">
        <f>SUM(C2:C9)</f>
        <v>-153222.91000000003</v>
      </c>
      <c r="E9" s="5">
        <f>SUM(B2:B9)</f>
        <v>-54006.82</v>
      </c>
    </row>
    <row r="10" spans="1:5" x14ac:dyDescent="0.3">
      <c r="A10" s="1">
        <v>44439</v>
      </c>
      <c r="B10" s="2">
        <v>76768.399999999994</v>
      </c>
      <c r="C10" s="2">
        <v>64252.800000000003</v>
      </c>
      <c r="D10" s="2">
        <f>SUM(C2:C10)</f>
        <v>-88970.11000000003</v>
      </c>
      <c r="E10" s="5">
        <f>SUM(B2:B10)</f>
        <v>22761.579999999994</v>
      </c>
    </row>
    <row r="11" spans="1:5" x14ac:dyDescent="0.3">
      <c r="A11" s="1">
        <v>44469</v>
      </c>
      <c r="B11" s="2">
        <v>-20563.32</v>
      </c>
      <c r="C11" s="2">
        <v>-32909.660000000003</v>
      </c>
      <c r="D11" s="2">
        <f>SUM(C2:C11)</f>
        <v>-121879.77000000003</v>
      </c>
      <c r="E11" s="5">
        <f>SUM(B2:B11)</f>
        <v>2198.2599999999948</v>
      </c>
    </row>
    <row r="12" spans="1:5" x14ac:dyDescent="0.3">
      <c r="A12" s="1">
        <v>44500</v>
      </c>
      <c r="B12" s="2">
        <v>7893.55</v>
      </c>
      <c r="C12" s="2">
        <v>-5268.87</v>
      </c>
      <c r="D12" s="2">
        <f>SUM(C2:C12)</f>
        <v>-127148.64000000003</v>
      </c>
      <c r="E12" s="5">
        <f>SUM(B2:B12)</f>
        <v>10091.809999999994</v>
      </c>
    </row>
    <row r="13" spans="1:5" x14ac:dyDescent="0.3">
      <c r="A13" s="1">
        <v>44530</v>
      </c>
      <c r="B13" s="2">
        <v>43400.6</v>
      </c>
      <c r="C13" s="2">
        <v>30278.58</v>
      </c>
      <c r="D13" s="2">
        <f t="shared" ref="D13:D50" si="0">SUM(C2:C13)</f>
        <v>-96870.060000000027</v>
      </c>
      <c r="E13" s="5">
        <f>SUM(B2:B13)</f>
        <v>53492.409999999989</v>
      </c>
    </row>
    <row r="14" spans="1:5" x14ac:dyDescent="0.3">
      <c r="A14" s="1">
        <v>44561</v>
      </c>
      <c r="B14" s="2">
        <v>-84928.54</v>
      </c>
      <c r="C14" s="2">
        <v>-92106.26</v>
      </c>
      <c r="D14" s="2">
        <f t="shared" si="0"/>
        <v>-142149.62</v>
      </c>
      <c r="E14" s="5">
        <f t="shared" ref="E14:E61" si="1">SUM(B3:B14)</f>
        <v>12327.440000000002</v>
      </c>
    </row>
    <row r="15" spans="1:5" x14ac:dyDescent="0.3">
      <c r="A15" s="1">
        <v>44592</v>
      </c>
      <c r="B15" s="2">
        <v>-25085.84</v>
      </c>
      <c r="C15" s="2">
        <v>-38047.31</v>
      </c>
      <c r="D15" s="2">
        <f t="shared" si="0"/>
        <v>-154044.19</v>
      </c>
      <c r="E15" s="5">
        <f t="shared" si="1"/>
        <v>-7673.8199999999961</v>
      </c>
    </row>
    <row r="16" spans="1:5" x14ac:dyDescent="0.3">
      <c r="A16" s="1">
        <v>44620</v>
      </c>
      <c r="B16" s="2">
        <v>95807.81</v>
      </c>
      <c r="C16" s="2">
        <v>55513.33</v>
      </c>
      <c r="D16" s="2">
        <f t="shared" si="0"/>
        <v>-94970.76</v>
      </c>
      <c r="E16" s="5">
        <f t="shared" si="1"/>
        <v>80349.009999999995</v>
      </c>
    </row>
    <row r="17" spans="1:5" x14ac:dyDescent="0.3">
      <c r="A17" s="1">
        <v>44651</v>
      </c>
      <c r="B17" s="2">
        <v>-17187.72</v>
      </c>
      <c r="C17" s="2">
        <v>-40606.5</v>
      </c>
      <c r="D17" s="2">
        <f t="shared" si="0"/>
        <v>-176554.21999999997</v>
      </c>
      <c r="E17" s="5">
        <f t="shared" si="1"/>
        <v>9569.6699999999983</v>
      </c>
    </row>
    <row r="18" spans="1:5" x14ac:dyDescent="0.3">
      <c r="A18" s="1">
        <v>44681</v>
      </c>
      <c r="B18" s="2">
        <v>-29115.26</v>
      </c>
      <c r="C18" s="2">
        <v>-43671.28</v>
      </c>
      <c r="D18" s="2">
        <f t="shared" si="0"/>
        <v>-206911.91999999995</v>
      </c>
      <c r="E18" s="5">
        <f t="shared" si="1"/>
        <v>-18067.149999999998</v>
      </c>
    </row>
    <row r="19" spans="1:5" x14ac:dyDescent="0.3">
      <c r="A19" s="1">
        <v>44682</v>
      </c>
      <c r="B19" s="2">
        <v>164717.74</v>
      </c>
      <c r="C19" s="2">
        <v>149229.68</v>
      </c>
      <c r="D19" s="2">
        <f t="shared" si="0"/>
        <v>-28575.040000000008</v>
      </c>
      <c r="E19" s="5">
        <f t="shared" si="1"/>
        <v>164834.65999999997</v>
      </c>
    </row>
    <row r="20" spans="1:5" x14ac:dyDescent="0.3">
      <c r="A20" s="1">
        <v>44713</v>
      </c>
      <c r="B20" s="2">
        <v>-14755.96</v>
      </c>
      <c r="C20" s="2">
        <v>-26635.61</v>
      </c>
      <c r="D20" s="2">
        <f t="shared" si="0"/>
        <v>-47982.37000000001</v>
      </c>
      <c r="E20" s="5">
        <f t="shared" si="1"/>
        <v>150636.29999999999</v>
      </c>
    </row>
    <row r="21" spans="1:5" x14ac:dyDescent="0.3">
      <c r="A21" s="1">
        <v>44743</v>
      </c>
      <c r="B21" s="2">
        <v>-77760.55</v>
      </c>
      <c r="C21" s="2">
        <v>-93044.88</v>
      </c>
      <c r="D21" s="2">
        <f t="shared" si="0"/>
        <v>-73015.98</v>
      </c>
      <c r="E21" s="5">
        <f t="shared" si="1"/>
        <v>119190.90999999999</v>
      </c>
    </row>
    <row r="22" spans="1:5" x14ac:dyDescent="0.3">
      <c r="A22" s="1">
        <v>44774</v>
      </c>
      <c r="B22" s="2">
        <v>47589.98</v>
      </c>
      <c r="C22" s="2">
        <v>28569.53</v>
      </c>
      <c r="D22" s="2">
        <f t="shared" si="0"/>
        <v>-108699.24999999997</v>
      </c>
      <c r="E22" s="5">
        <f>SUM(B11:B22)</f>
        <v>90012.489999999991</v>
      </c>
    </row>
    <row r="23" spans="1:5" x14ac:dyDescent="0.3">
      <c r="A23" s="1">
        <v>44805</v>
      </c>
      <c r="B23" s="2">
        <v>-48387.28</v>
      </c>
      <c r="C23" s="2">
        <v>-79475.81</v>
      </c>
      <c r="D23" s="2">
        <f t="shared" si="0"/>
        <v>-155265.40000000002</v>
      </c>
      <c r="E23" s="5">
        <f t="shared" si="1"/>
        <v>62188.53</v>
      </c>
    </row>
    <row r="24" spans="1:5" x14ac:dyDescent="0.3">
      <c r="A24" s="1">
        <v>44835</v>
      </c>
      <c r="B24" s="2">
        <v>-13458.14</v>
      </c>
      <c r="C24" s="2">
        <v>-72415.679999999993</v>
      </c>
      <c r="D24" s="2">
        <f t="shared" si="0"/>
        <v>-222412.21</v>
      </c>
      <c r="E24" s="5">
        <f t="shared" si="1"/>
        <v>40836.839999999982</v>
      </c>
    </row>
    <row r="25" spans="1:5" x14ac:dyDescent="0.3">
      <c r="A25" s="1">
        <v>44867</v>
      </c>
      <c r="B25" s="2">
        <v>120997.12</v>
      </c>
      <c r="C25" s="2">
        <v>99463.08</v>
      </c>
      <c r="D25" s="2">
        <f t="shared" si="0"/>
        <v>-153227.70999999996</v>
      </c>
      <c r="E25" s="5">
        <f t="shared" si="1"/>
        <v>118433.36000000002</v>
      </c>
    </row>
    <row r="26" spans="1:5" x14ac:dyDescent="0.3">
      <c r="A26" s="1">
        <v>44899</v>
      </c>
      <c r="B26" s="2">
        <v>-93101.9</v>
      </c>
      <c r="C26" s="2">
        <v>-108297.62</v>
      </c>
      <c r="D26" s="2">
        <f t="shared" si="0"/>
        <v>-169419.07</v>
      </c>
      <c r="E26" s="5">
        <f t="shared" si="1"/>
        <v>110259.99999999997</v>
      </c>
    </row>
    <row r="27" spans="1:5" x14ac:dyDescent="0.3">
      <c r="A27" s="1">
        <v>44931</v>
      </c>
      <c r="B27" s="2">
        <v>-34582.5</v>
      </c>
      <c r="C27" s="2">
        <v>-54300.18</v>
      </c>
      <c r="D27" s="2">
        <f t="shared" si="0"/>
        <v>-185671.94</v>
      </c>
      <c r="E27" s="5">
        <f t="shared" si="1"/>
        <v>100763.34</v>
      </c>
    </row>
    <row r="28" spans="1:5" x14ac:dyDescent="0.3">
      <c r="A28" s="1">
        <v>44963</v>
      </c>
      <c r="B28" s="2">
        <v>-140178.32</v>
      </c>
      <c r="C28" s="2">
        <v>-171480.74</v>
      </c>
      <c r="D28" s="2">
        <f t="shared" si="0"/>
        <v>-412666.00999999995</v>
      </c>
      <c r="E28" s="5">
        <f t="shared" si="1"/>
        <v>-135222.79</v>
      </c>
    </row>
    <row r="29" spans="1:5" x14ac:dyDescent="0.3">
      <c r="A29" s="1">
        <v>44995</v>
      </c>
      <c r="B29" s="2">
        <v>1831.74</v>
      </c>
      <c r="C29" s="2">
        <v>-32142.58</v>
      </c>
      <c r="D29" s="2">
        <f t="shared" si="0"/>
        <v>-404202.08999999997</v>
      </c>
      <c r="E29" s="5">
        <f t="shared" si="1"/>
        <v>-116203.33000000003</v>
      </c>
    </row>
    <row r="30" spans="1:5" x14ac:dyDescent="0.3">
      <c r="A30" s="1">
        <v>45027</v>
      </c>
      <c r="B30" s="2">
        <v>-132224.97</v>
      </c>
      <c r="C30" s="2">
        <v>-159061.88</v>
      </c>
      <c r="D30" s="2">
        <f t="shared" si="0"/>
        <v>-519592.69</v>
      </c>
      <c r="E30" s="5">
        <f t="shared" si="1"/>
        <v>-219313.04000000004</v>
      </c>
    </row>
    <row r="31" spans="1:5" x14ac:dyDescent="0.3">
      <c r="A31" s="1">
        <v>45059</v>
      </c>
      <c r="B31" s="2">
        <v>265627.93</v>
      </c>
      <c r="C31" s="2">
        <v>169778.89</v>
      </c>
      <c r="D31" s="2">
        <f t="shared" si="0"/>
        <v>-499043.48</v>
      </c>
      <c r="E31" s="5">
        <f t="shared" si="1"/>
        <v>-118402.85000000003</v>
      </c>
    </row>
    <row r="32" spans="1:5" x14ac:dyDescent="0.3">
      <c r="A32" s="1">
        <v>45091</v>
      </c>
      <c r="B32" s="2">
        <v>-184962.28</v>
      </c>
      <c r="C32" s="2">
        <v>-206369.32</v>
      </c>
      <c r="D32" s="2">
        <f t="shared" si="0"/>
        <v>-678777.19</v>
      </c>
      <c r="E32" s="5">
        <f t="shared" si="1"/>
        <v>-288609.17000000004</v>
      </c>
    </row>
    <row r="33" spans="1:5" x14ac:dyDescent="0.3">
      <c r="A33" s="1">
        <v>45123</v>
      </c>
      <c r="B33" s="2">
        <v>53218.02</v>
      </c>
      <c r="C33" s="2">
        <v>19161.63</v>
      </c>
      <c r="D33" s="2">
        <f t="shared" si="0"/>
        <v>-566570.68000000005</v>
      </c>
      <c r="E33" s="5">
        <f t="shared" si="1"/>
        <v>-157630.60000000003</v>
      </c>
    </row>
    <row r="34" spans="1:5" x14ac:dyDescent="0.3">
      <c r="A34" s="1">
        <v>45155</v>
      </c>
      <c r="B34" s="2">
        <v>140479.47</v>
      </c>
      <c r="C34" s="2">
        <v>61908.5</v>
      </c>
      <c r="D34" s="2">
        <f t="shared" si="0"/>
        <v>-533231.70999999985</v>
      </c>
      <c r="E34" s="5">
        <f t="shared" si="1"/>
        <v>-64741.110000000015</v>
      </c>
    </row>
    <row r="35" spans="1:5" x14ac:dyDescent="0.3">
      <c r="A35" s="1">
        <v>45187</v>
      </c>
      <c r="B35" s="2">
        <v>-22651.15</v>
      </c>
      <c r="C35" s="2">
        <v>-69061.87</v>
      </c>
      <c r="D35" s="2">
        <f t="shared" si="0"/>
        <v>-522817.77</v>
      </c>
      <c r="E35" s="5">
        <f t="shared" si="1"/>
        <v>-39004.979999999989</v>
      </c>
    </row>
    <row r="36" spans="1:5" x14ac:dyDescent="0.3">
      <c r="A36" s="1">
        <v>45217</v>
      </c>
      <c r="B36" s="2">
        <v>-26003.22</v>
      </c>
      <c r="C36" s="2">
        <v>-82239.88</v>
      </c>
      <c r="D36" s="2">
        <f t="shared" si="0"/>
        <v>-532641.97</v>
      </c>
      <c r="E36" s="5">
        <f t="shared" si="1"/>
        <v>-51550.060000000034</v>
      </c>
    </row>
    <row r="37" spans="1:5" x14ac:dyDescent="0.3">
      <c r="A37" s="1">
        <v>45250</v>
      </c>
      <c r="B37" s="2">
        <v>177135.89</v>
      </c>
      <c r="C37" s="2">
        <v>95279.59</v>
      </c>
      <c r="D37" s="2">
        <f t="shared" si="0"/>
        <v>-536825.46</v>
      </c>
      <c r="E37" s="5">
        <f t="shared" si="1"/>
        <v>4588.7100000001083</v>
      </c>
    </row>
    <row r="38" spans="1:5" x14ac:dyDescent="0.3">
      <c r="A38" s="1">
        <v>45283</v>
      </c>
      <c r="B38" s="2">
        <v>-169357.5</v>
      </c>
      <c r="C38" s="2">
        <v>-197256.02</v>
      </c>
      <c r="D38" s="2">
        <f t="shared" si="0"/>
        <v>-625783.86</v>
      </c>
      <c r="E38" s="5">
        <f t="shared" si="1"/>
        <v>-71666.890000000043</v>
      </c>
    </row>
    <row r="39" spans="1:5" x14ac:dyDescent="0.3">
      <c r="A39" s="1">
        <v>45316</v>
      </c>
      <c r="B39" s="2">
        <v>-94510.87</v>
      </c>
      <c r="C39" s="2">
        <v>-201465.74</v>
      </c>
      <c r="D39" s="2">
        <f t="shared" si="0"/>
        <v>-772949.42</v>
      </c>
      <c r="E39" s="5">
        <f t="shared" si="1"/>
        <v>-131595.26000000004</v>
      </c>
    </row>
    <row r="40" spans="1:5" x14ac:dyDescent="0.3">
      <c r="A40" s="1">
        <v>45349</v>
      </c>
      <c r="B40" s="2">
        <v>-147654.6</v>
      </c>
      <c r="C40" s="2">
        <v>-202008.13</v>
      </c>
      <c r="D40" s="2">
        <f t="shared" si="0"/>
        <v>-803476.80999999994</v>
      </c>
      <c r="E40" s="5">
        <f t="shared" si="1"/>
        <v>-139071.53999999995</v>
      </c>
    </row>
    <row r="41" spans="1:5" x14ac:dyDescent="0.3">
      <c r="A41" s="1">
        <v>45382</v>
      </c>
      <c r="B41" s="2">
        <v>-103770.53</v>
      </c>
      <c r="C41" s="2">
        <v>-166946.79999999999</v>
      </c>
      <c r="D41" s="2">
        <f t="shared" si="0"/>
        <v>-938281.03</v>
      </c>
      <c r="E41" s="5">
        <f t="shared" si="1"/>
        <v>-244673.81</v>
      </c>
    </row>
    <row r="42" spans="1:5" x14ac:dyDescent="0.3">
      <c r="A42" s="1">
        <v>45412</v>
      </c>
      <c r="B42" s="2">
        <v>-132149.60999999999</v>
      </c>
      <c r="C42" s="2">
        <v>-237071.41</v>
      </c>
      <c r="D42" s="2">
        <f t="shared" si="0"/>
        <v>-1016290.5599999999</v>
      </c>
      <c r="E42" s="5">
        <f t="shared" si="1"/>
        <v>-244598.44999999995</v>
      </c>
    </row>
    <row r="43" spans="1:5" x14ac:dyDescent="0.3">
      <c r="A43" s="1">
        <v>45443</v>
      </c>
      <c r="B43" s="2">
        <v>337263.04</v>
      </c>
      <c r="C43" s="2">
        <v>234743.2</v>
      </c>
      <c r="D43" s="2">
        <f t="shared" si="0"/>
        <v>-951326.25</v>
      </c>
      <c r="E43" s="5">
        <f t="shared" si="1"/>
        <v>-172963.34000000003</v>
      </c>
    </row>
    <row r="44" spans="1:5" x14ac:dyDescent="0.3">
      <c r="A44" s="1">
        <v>45473</v>
      </c>
      <c r="B44" s="2">
        <v>-334491.46999999997</v>
      </c>
      <c r="C44" s="2">
        <v>-430739.44</v>
      </c>
      <c r="D44" s="2">
        <f t="shared" si="0"/>
        <v>-1175696.3699999999</v>
      </c>
      <c r="E44" s="5">
        <f t="shared" si="1"/>
        <v>-322492.52999999997</v>
      </c>
    </row>
    <row r="45" spans="1:5" x14ac:dyDescent="0.3">
      <c r="A45" s="1">
        <v>45504</v>
      </c>
      <c r="B45" s="2">
        <v>-47860.45</v>
      </c>
      <c r="C45" s="2">
        <v>-136535.53</v>
      </c>
      <c r="D45" s="2">
        <f t="shared" si="0"/>
        <v>-1331393.53</v>
      </c>
      <c r="E45" s="5">
        <f t="shared" si="1"/>
        <v>-423571</v>
      </c>
    </row>
    <row r="46" spans="1:5" x14ac:dyDescent="0.3">
      <c r="A46" s="1">
        <v>45535</v>
      </c>
      <c r="B46" s="2">
        <v>-108554.5</v>
      </c>
      <c r="C46" s="2">
        <v>-194617.83</v>
      </c>
      <c r="D46" s="2">
        <f t="shared" si="0"/>
        <v>-1587919.86</v>
      </c>
      <c r="E46" s="5">
        <f t="shared" si="1"/>
        <v>-672604.97</v>
      </c>
    </row>
    <row r="47" spans="1:5" x14ac:dyDescent="0.3">
      <c r="A47" s="1">
        <v>45565</v>
      </c>
      <c r="B47" s="2">
        <v>-61901.120000000003</v>
      </c>
      <c r="C47" s="2">
        <v>-201732.82</v>
      </c>
      <c r="D47" s="2">
        <f t="shared" si="0"/>
        <v>-1720590.81</v>
      </c>
      <c r="E47" s="5">
        <f t="shared" si="1"/>
        <v>-711854.94</v>
      </c>
    </row>
    <row r="48" spans="1:5" x14ac:dyDescent="0.3">
      <c r="A48" s="1">
        <v>45596</v>
      </c>
      <c r="B48" s="2">
        <v>-44054.54</v>
      </c>
      <c r="C48" s="2">
        <v>-170017.84</v>
      </c>
      <c r="D48" s="2">
        <f t="shared" si="0"/>
        <v>-1808368.7700000003</v>
      </c>
      <c r="E48" s="5">
        <f t="shared" si="1"/>
        <v>-729906.26</v>
      </c>
    </row>
    <row r="49" spans="1:5" x14ac:dyDescent="0.3">
      <c r="A49" s="1">
        <v>45626</v>
      </c>
      <c r="B49" s="2">
        <v>67739.89</v>
      </c>
      <c r="C49" s="2">
        <v>-62220.22</v>
      </c>
      <c r="D49" s="2">
        <f t="shared" si="0"/>
        <v>-1965868.58</v>
      </c>
      <c r="E49" s="5">
        <f t="shared" si="1"/>
        <v>-839302.26</v>
      </c>
    </row>
    <row r="50" spans="1:5" x14ac:dyDescent="0.3">
      <c r="A50" s="1">
        <v>45657</v>
      </c>
      <c r="B50" s="2">
        <v>-259299.62</v>
      </c>
      <c r="C50" s="2">
        <v>-323904.46000000002</v>
      </c>
      <c r="D50" s="2">
        <f t="shared" si="0"/>
        <v>-2092517.02</v>
      </c>
      <c r="E50" s="5">
        <f t="shared" si="1"/>
        <v>-929244.38</v>
      </c>
    </row>
    <row r="51" spans="1:5" x14ac:dyDescent="0.3">
      <c r="A51" s="1">
        <v>45688</v>
      </c>
      <c r="B51" s="2">
        <v>-54589.08</v>
      </c>
      <c r="C51" s="2">
        <v>-205018.03</v>
      </c>
      <c r="D51" s="2">
        <f>SUM(C40:C51)</f>
        <v>-2096069.31</v>
      </c>
      <c r="E51" s="5">
        <f t="shared" si="1"/>
        <v>-889322.59</v>
      </c>
    </row>
    <row r="52" spans="1:5" x14ac:dyDescent="0.3">
      <c r="A52" s="1">
        <v>45716</v>
      </c>
      <c r="B52" s="2">
        <v>-266226.44</v>
      </c>
      <c r="C52" s="2">
        <v>-397603.03</v>
      </c>
      <c r="D52" s="2">
        <f t="shared" ref="D52:D61" si="2">SUM(C41:C52)</f>
        <v>-2291664.21</v>
      </c>
      <c r="E52" s="5">
        <f t="shared" si="1"/>
        <v>-1007894.4299999999</v>
      </c>
    </row>
    <row r="53" spans="1:5" x14ac:dyDescent="0.3">
      <c r="A53" s="1">
        <v>45747</v>
      </c>
      <c r="B53" s="2">
        <v>-163882.89000000001</v>
      </c>
      <c r="C53" s="2">
        <v>-298984.93</v>
      </c>
      <c r="D53" s="2">
        <f t="shared" si="2"/>
        <v>-2423702.3400000003</v>
      </c>
      <c r="E53" s="5">
        <f t="shared" si="1"/>
        <v>-1068006.79</v>
      </c>
    </row>
    <row r="54" spans="1:5" x14ac:dyDescent="0.3">
      <c r="A54" s="1">
        <v>45777</v>
      </c>
      <c r="B54" s="2">
        <v>73078.929999999993</v>
      </c>
      <c r="C54" s="2">
        <v>-183591.87</v>
      </c>
      <c r="D54" s="2">
        <f t="shared" si="2"/>
        <v>-2370222.8000000003</v>
      </c>
      <c r="E54" s="5">
        <f t="shared" si="1"/>
        <v>-862778.25</v>
      </c>
    </row>
    <row r="55" spans="1:5" x14ac:dyDescent="0.3">
      <c r="A55" s="1">
        <v>45808</v>
      </c>
      <c r="B55" s="2">
        <v>348137.61</v>
      </c>
      <c r="C55" s="2">
        <v>247124.64</v>
      </c>
      <c r="D55" s="2">
        <f t="shared" si="2"/>
        <v>-2357841.3600000003</v>
      </c>
      <c r="E55" s="5">
        <f t="shared" si="1"/>
        <v>-851903.68000000028</v>
      </c>
    </row>
    <row r="56" spans="1:5" x14ac:dyDescent="0.3">
      <c r="A56" s="1">
        <v>45838</v>
      </c>
      <c r="B56" s="2">
        <v>-207035.67</v>
      </c>
      <c r="C56" s="2">
        <v>-455736.92</v>
      </c>
      <c r="D56" s="2">
        <f t="shared" si="2"/>
        <v>-2382838.84</v>
      </c>
      <c r="E56" s="5">
        <f t="shared" si="1"/>
        <v>-724447.88000000012</v>
      </c>
    </row>
    <row r="57" spans="1:5" x14ac:dyDescent="0.3">
      <c r="A57" s="1">
        <v>45869</v>
      </c>
      <c r="B57" s="2">
        <v>54108.08</v>
      </c>
      <c r="C57" s="2">
        <v>-68525.73</v>
      </c>
      <c r="D57" s="2">
        <f t="shared" si="2"/>
        <v>-2314829.0399999996</v>
      </c>
      <c r="E57" s="5">
        <f t="shared" si="1"/>
        <v>-622479.35000000021</v>
      </c>
    </row>
    <row r="58" spans="1:5" x14ac:dyDescent="0.3">
      <c r="A58" s="1">
        <v>45900</v>
      </c>
      <c r="B58" s="2">
        <v>249284.64</v>
      </c>
      <c r="C58" s="2">
        <v>84213.69</v>
      </c>
      <c r="D58" s="2">
        <f t="shared" si="2"/>
        <v>-2035997.52</v>
      </c>
      <c r="E58" s="5">
        <f t="shared" si="1"/>
        <v>-264640.21000000014</v>
      </c>
    </row>
    <row r="59" spans="1:5" x14ac:dyDescent="0.3">
      <c r="A59" s="1">
        <v>45930</v>
      </c>
      <c r="B59" s="2">
        <v>-134009.67000000001</v>
      </c>
      <c r="C59" s="2">
        <v>-360138.47</v>
      </c>
      <c r="D59" s="2">
        <f t="shared" si="2"/>
        <v>-2194403.17</v>
      </c>
      <c r="E59" s="5">
        <f t="shared" si="1"/>
        <v>-336748.76</v>
      </c>
    </row>
    <row r="60" spans="1:5" x14ac:dyDescent="0.3">
      <c r="A60" s="1">
        <v>45961</v>
      </c>
      <c r="B60" s="2">
        <v>-36669.800000000003</v>
      </c>
      <c r="C60" s="2">
        <v>-195969.58</v>
      </c>
      <c r="D60" s="2">
        <f t="shared" si="2"/>
        <v>-2220354.9099999997</v>
      </c>
      <c r="E60" s="5">
        <f t="shared" si="1"/>
        <v>-329364.01999999996</v>
      </c>
    </row>
    <row r="61" spans="1:5" x14ac:dyDescent="0.3">
      <c r="A61" s="1">
        <v>45991</v>
      </c>
      <c r="B61" s="2">
        <v>173213</v>
      </c>
      <c r="C61" s="2">
        <v>56197</v>
      </c>
      <c r="D61" s="2">
        <f t="shared" si="2"/>
        <v>-2101937.6899999995</v>
      </c>
      <c r="E61" s="5">
        <f t="shared" si="1"/>
        <v>-223890.91000000009</v>
      </c>
    </row>
    <row r="62" spans="1:5" x14ac:dyDescent="0.3">
      <c r="A62" s="1">
        <v>46022</v>
      </c>
      <c r="B62" s="2">
        <v>-218235.67</v>
      </c>
      <c r="C62" s="2">
        <v>-333819.82</v>
      </c>
      <c r="D62" s="2">
        <f t="shared" ref="D62" si="3">SUM(C51:C62)</f>
        <v>-2111853.0499999998</v>
      </c>
      <c r="E62" s="5">
        <f t="shared" ref="E62" si="4">SUM(B51:B62)</f>
        <v>-182826.96000000005</v>
      </c>
    </row>
    <row r="63" spans="1:5" x14ac:dyDescent="0.3">
      <c r="A63" s="1">
        <v>46053</v>
      </c>
      <c r="B63" s="2">
        <v>207493.81</v>
      </c>
      <c r="C63" s="2">
        <v>-246186.47</v>
      </c>
      <c r="D63" s="2">
        <f t="shared" ref="D63" si="5">SUM(C52:C63)</f>
        <v>-2153021.4900000002</v>
      </c>
      <c r="E63" s="5">
        <f t="shared" ref="E63" si="6">SUM(B52:B63)</f>
        <v>79255.92999999992</v>
      </c>
    </row>
    <row r="65" spans="2:5" x14ac:dyDescent="0.3">
      <c r="D65" s="3" t="s">
        <v>0</v>
      </c>
    </row>
    <row r="66" spans="2:5" x14ac:dyDescent="0.3">
      <c r="C66" s="3" t="s">
        <v>0</v>
      </c>
      <c r="E66" s="3" t="s">
        <v>0</v>
      </c>
    </row>
    <row r="72" spans="2:5" x14ac:dyDescent="0.3">
      <c r="B72" s="3" t="s">
        <v>0</v>
      </c>
      <c r="C72" s="3" t="s">
        <v>0</v>
      </c>
      <c r="E72" s="3" t="s">
        <v>0</v>
      </c>
    </row>
    <row r="73" spans="2:5" x14ac:dyDescent="0.3">
      <c r="D73" s="3" t="s">
        <v>0</v>
      </c>
      <c r="E73" s="3" t="s">
        <v>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e47449c-aead-4773-aea9-0d789a4a6973}" enabled="1" method="Privileged" siteId="{a71b8764-0a7a-4511-8f04-04867f0718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Veri_Aylık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1803</dc:creator>
  <cp:lastModifiedBy>Ömer Faruk Özoğul / Kuveyt Türk - Aktif-Pasif Yönetimi</cp:lastModifiedBy>
  <dcterms:created xsi:type="dcterms:W3CDTF">2021-01-17T09:15:18Z</dcterms:created>
  <dcterms:modified xsi:type="dcterms:W3CDTF">2026-02-11T08:33:16Z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eyIwIjoiSGlzdG9yeSIsIjEiOjAsIjIiOjEsIjMiOjEsIjQiOjEsIjUiOjEsIjYiOjEsIjciOjEsIjgiOjAsIjkiOjEsIjEwIjowLCIxMSI6MCwiMTIiOjB9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eyIwIjoiSGlzdG9yeSIsIjEiOjAsIjIiOjEsIjMiOjEsIjQiOjEsIjUiOjEsIjYiOjEsIjciOjEsIjgiOjAsIjkiOjEsIjEwIjowLCIxMSI6MCwiMTIiOjB9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eyIwIjoiSGlzdG9yeSIsIjEiOjAsIjIiOjEsIjMiOjEsIjQiOjEsIjUiOjEsIjYiOjEsIjciOjEsIjgiOjAsIjkiOjEsIjEwIjowLCIxMSI6MCwiMTIiOjB9</vt:lpwstr>
  </property>
  <property fmtid="{D5CDD505-2E9C-101B-9397-08002B2CF9AE}" pid="8" name="SpreadsheetBuilder_7">
    <vt:lpwstr>eyIwIjoiSGlzdG9yeSIsIjEiOjAsIjIiOjEsIjMiOjEsIjQiOjEsIjUiOjEsIjYiOjEsIjciOjEsIjgiOjAsIjkiOjEsIjEwIjowLCIxMSI6MCwiMTIiOjB9</vt:lpwstr>
  </property>
  <property fmtid="{D5CDD505-2E9C-101B-9397-08002B2CF9AE}" pid="9" name="SpreadsheetBuilder_8">
    <vt:lpwstr>eyIwIjoiSGlzdG9yeSIsIjEiOjAsIjIiOjEsIjMiOjEsIjQiOjEsIjUiOjEsIjYiOjEsIjciOjEsIjgiOjAsIjkiOjEsIjEwIjowLCIxMSI6MCwiMTIiOjB9</vt:lpwstr>
  </property>
  <property fmtid="{D5CDD505-2E9C-101B-9397-08002B2CF9AE}" pid="10" name="MSIP_Label_ce47449c-aead-4773-aea9-0d789a4a6973_Enabled">
    <vt:lpwstr>true</vt:lpwstr>
  </property>
  <property fmtid="{D5CDD505-2E9C-101B-9397-08002B2CF9AE}" pid="11" name="MSIP_Label_ce47449c-aead-4773-aea9-0d789a4a6973_SetDate">
    <vt:lpwstr>2023-09-15T14:02:19Z</vt:lpwstr>
  </property>
  <property fmtid="{D5CDD505-2E9C-101B-9397-08002B2CF9AE}" pid="12" name="MSIP_Label_ce47449c-aead-4773-aea9-0d789a4a6973_Method">
    <vt:lpwstr>Privileged</vt:lpwstr>
  </property>
  <property fmtid="{D5CDD505-2E9C-101B-9397-08002B2CF9AE}" pid="13" name="MSIP_Label_ce47449c-aead-4773-aea9-0d789a4a6973_Name">
    <vt:lpwstr>Internal Use_Does Not Contains Personal Information</vt:lpwstr>
  </property>
  <property fmtid="{D5CDD505-2E9C-101B-9397-08002B2CF9AE}" pid="14" name="MSIP_Label_ce47449c-aead-4773-aea9-0d789a4a6973_SiteId">
    <vt:lpwstr>a71b8764-0a7a-4511-8f04-04867f0718ab</vt:lpwstr>
  </property>
  <property fmtid="{D5CDD505-2E9C-101B-9397-08002B2CF9AE}" pid="15" name="MSIP_Label_ce47449c-aead-4773-aea9-0d789a4a6973_ActionId">
    <vt:lpwstr>b5580701-d017-47d4-9a44-21c2a9ed6b67</vt:lpwstr>
  </property>
  <property fmtid="{D5CDD505-2E9C-101B-9397-08002B2CF9AE}" pid="16" name="MSIP_Label_ce47449c-aead-4773-aea9-0d789a4a6973_ContentBits">
    <vt:lpwstr>0</vt:lpwstr>
  </property>
</Properties>
</file>