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merozogul/Desktop/DashboardProje/"/>
    </mc:Choice>
  </mc:AlternateContent>
  <xr:revisionPtr revIDLastSave="0" documentId="13_ncr:1_{30D3F1F5-BEE9-4843-B5D6-8821E2A7F27F}" xr6:coauthVersionLast="47" xr6:coauthVersionMax="47" xr10:uidLastSave="{00000000-0000-0000-0000-000000000000}"/>
  <bookViews>
    <workbookView xWindow="0" yWindow="500" windowWidth="28800" windowHeight="16080" tabRatio="810" xr2:uid="{00000000-000D-0000-FFFF-FFFF00000000}"/>
  </bookViews>
  <sheets>
    <sheet name="Veri_Aylık" sheetId="9" r:id="rId1"/>
  </sheets>
  <definedNames>
    <definedName name="SpreadsheetBuilder_2" hidden="1">#REF!</definedName>
    <definedName name="SpreadsheetBuilder_4" hidden="1">#REF!</definedName>
    <definedName name="SpreadsheetBuilder_8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2" i="9" l="1"/>
  <c r="C62" i="9"/>
  <c r="E61" i="9"/>
  <c r="C61" i="9"/>
  <c r="E60" i="9"/>
  <c r="C60" i="9"/>
  <c r="E59" i="9"/>
  <c r="C59" i="9"/>
  <c r="C58" i="9"/>
  <c r="E58" i="9"/>
  <c r="E57" i="9" l="1"/>
  <c r="C57" i="9"/>
  <c r="E56" i="9" l="1"/>
  <c r="C56" i="9"/>
  <c r="E55" i="9" l="1"/>
  <c r="C55" i="9"/>
  <c r="E54" i="9" l="1"/>
  <c r="C54" i="9"/>
  <c r="E53" i="9" l="1"/>
  <c r="C53" i="9"/>
  <c r="E52" i="9" l="1"/>
  <c r="C52" i="9"/>
  <c r="E51" i="9" l="1"/>
  <c r="C51" i="9"/>
  <c r="E50" i="9" l="1"/>
  <c r="C50" i="9"/>
  <c r="E49" i="9" l="1"/>
  <c r="C49" i="9"/>
  <c r="E48" i="9" l="1"/>
  <c r="C48" i="9"/>
  <c r="E47" i="9" l="1"/>
  <c r="C47" i="9"/>
  <c r="E46" i="9" l="1"/>
  <c r="C46" i="9"/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E45" i="9" l="1"/>
  <c r="E44" i="9" l="1"/>
  <c r="E43" i="9" l="1"/>
  <c r="E42" i="9" l="1"/>
  <c r="E41" i="9" l="1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C2" i="9"/>
</calcChain>
</file>

<file path=xl/sharedStrings.xml><?xml version="1.0" encoding="utf-8"?>
<sst xmlns="http://schemas.openxmlformats.org/spreadsheetml/2006/main" count="9" uniqueCount="6">
  <si>
    <t xml:space="preserve"> </t>
  </si>
  <si>
    <t>Bütçe Dengesi Aylık</t>
  </si>
  <si>
    <t>Bütçe Dengesi Yıllık</t>
  </si>
  <si>
    <t>Faiz Dışı Denge Aylık</t>
  </si>
  <si>
    <t>Faiz Dışı Denge Yıllık</t>
  </si>
  <si>
    <t>Tarih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</si>
</sst>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T_L_-;\-* #,##0.00\ _T_L_-;_-* &quot;-&quot;??\ _T_L_-;_-@_-"/>
    <numFmt numFmtId="165" formatCode="[$-41F]mmmm\ yy;@"/>
    <numFmt numFmtId="166" formatCode="#."/>
    <numFmt numFmtId="167" formatCode="mmm"/>
  </numFmts>
  <fonts count="13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</font>
    <font>
      <sz val="10"/>
      <name val="Courier"/>
      <family val="1"/>
      <charset val="162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theme="1"/>
      <name val="Arial"/>
      <family val="2"/>
      <charset val="162"/>
    </font>
    <font>
      <sz val="10"/>
      <name val="Arial"/>
      <family val="2"/>
      <charset val="162"/>
    </font>
    <font>
      <sz val="10"/>
      <name val="MS Sans Serif"/>
      <family val="2"/>
      <charset val="162"/>
    </font>
    <font>
      <sz val="10"/>
      <name val="Arial Tur"/>
      <charset val="162"/>
    </font>
    <font>
      <sz val="10"/>
      <name val="Times New Roman"/>
      <family val="1"/>
      <charset val="162"/>
    </font>
    <font>
      <sz val="1"/>
      <color indexed="16"/>
      <name val="Courier"/>
      <family val="1"/>
      <charset val="162"/>
    </font>
    <font>
      <sz val="18"/>
      <color theme="1" tint="0.1499679555650502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/>
      <bottom/>
      <diagonal/>
    </border>
  </borders>
  <cellStyleXfs count="37">
    <xf numFmtId="0" fontId="0" fillId="0" borderId="0"/>
    <xf numFmtId="0" fontId="2" fillId="0" borderId="0"/>
    <xf numFmtId="0" fontId="4" fillId="0" borderId="0"/>
    <xf numFmtId="0" fontId="4" fillId="0" borderId="0">
      <alignment vertical="center"/>
    </xf>
    <xf numFmtId="0" fontId="7" fillId="0" borderId="0"/>
    <xf numFmtId="0" fontId="3" fillId="0" borderId="0">
      <alignment vertical="center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6" fontId="11" fillId="0" borderId="0">
      <protection locked="0"/>
    </xf>
    <xf numFmtId="167" fontId="12" fillId="0" borderId="1">
      <alignment horizontal="right" vertical="center" wrapText="1" indent="1"/>
    </xf>
    <xf numFmtId="0" fontId="4" fillId="0" borderId="0"/>
    <xf numFmtId="0" fontId="10" fillId="0" borderId="0"/>
    <xf numFmtId="0" fontId="4" fillId="0" borderId="0"/>
    <xf numFmtId="0" fontId="10" fillId="0" borderId="0"/>
    <xf numFmtId="0" fontId="9" fillId="0" borderId="0"/>
    <xf numFmtId="0" fontId="10" fillId="0" borderId="0"/>
    <xf numFmtId="0" fontId="10" fillId="0" borderId="0"/>
    <xf numFmtId="0" fontId="1" fillId="0" borderId="0"/>
    <xf numFmtId="0" fontId="1" fillId="0" borderId="0"/>
    <xf numFmtId="0" fontId="4" fillId="0" borderId="0"/>
    <xf numFmtId="38" fontId="8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>
      <alignment vertical="center"/>
    </xf>
  </cellStyleXfs>
  <cellXfs count="4">
    <xf numFmtId="0" fontId="0" fillId="0" borderId="0" xfId="0"/>
    <xf numFmtId="165" fontId="6" fillId="0" borderId="0" xfId="0" applyNumberFormat="1" applyFont="1" applyAlignment="1">
      <alignment horizontal="center" vertical="center"/>
    </xf>
    <xf numFmtId="3" fontId="5" fillId="0" borderId="0" xfId="3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7">
    <cellStyle name="Comma 2" xfId="35" xr:uid="{BCFA1F88-1B6C-4F1B-A6F0-9F48C80A681C}"/>
    <cellStyle name="f‰H_x0010_‹Ëf‰h,ÿt$_x0018_è¸Wÿÿé&gt;Ëÿÿ÷Ç_x0001_" xfId="5" xr:uid="{00000000-0005-0000-0000-000002000000}"/>
    <cellStyle name="f‰H_x0010_‹Ëf‰h,ÿt$_x0018_è¸Wÿÿé&gt;Ëÿÿ÷Ç_x0001_ 2" xfId="3" xr:uid="{00000000-0005-0000-0000-000003000000}"/>
    <cellStyle name="F2" xfId="6" xr:uid="{00000000-0005-0000-0000-000004000000}"/>
    <cellStyle name="F3" xfId="7" xr:uid="{00000000-0005-0000-0000-000005000000}"/>
    <cellStyle name="F4" xfId="8" xr:uid="{00000000-0005-0000-0000-000006000000}"/>
    <cellStyle name="F5" xfId="9" xr:uid="{00000000-0005-0000-0000-000007000000}"/>
    <cellStyle name="F6" xfId="10" xr:uid="{00000000-0005-0000-0000-000008000000}"/>
    <cellStyle name="F7" xfId="11" xr:uid="{00000000-0005-0000-0000-000009000000}"/>
    <cellStyle name="F8" xfId="12" xr:uid="{00000000-0005-0000-0000-00000A000000}"/>
    <cellStyle name="Month" xfId="13" xr:uid="{00000000-0005-0000-0000-00000B000000}"/>
    <cellStyle name="Normal" xfId="0" builtinId="0"/>
    <cellStyle name="Normal 18" xfId="2" xr:uid="{00000000-0005-0000-0000-00000D000000}"/>
    <cellStyle name="Normal 2" xfId="14" xr:uid="{00000000-0005-0000-0000-00000E000000}"/>
    <cellStyle name="Normal 2 2" xfId="15" xr:uid="{00000000-0005-0000-0000-00000F000000}"/>
    <cellStyle name="Normal 2 2 2" xfId="16" xr:uid="{00000000-0005-0000-0000-000010000000}"/>
    <cellStyle name="Normal 2 3" xfId="17" xr:uid="{00000000-0005-0000-0000-000011000000}"/>
    <cellStyle name="Normal 3" xfId="18" xr:uid="{00000000-0005-0000-0000-000012000000}"/>
    <cellStyle name="Normal 3 2" xfId="19" xr:uid="{00000000-0005-0000-0000-000013000000}"/>
    <cellStyle name="Normal 4" xfId="1" xr:uid="{00000000-0005-0000-0000-000014000000}"/>
    <cellStyle name="Normal 4 2" xfId="21" xr:uid="{00000000-0005-0000-0000-000015000000}"/>
    <cellStyle name="Normal 4 3" xfId="20" xr:uid="{00000000-0005-0000-0000-000016000000}"/>
    <cellStyle name="Normal 5" xfId="22" xr:uid="{00000000-0005-0000-0000-000017000000}"/>
    <cellStyle name="Normal 5 2" xfId="23" xr:uid="{00000000-0005-0000-0000-000018000000}"/>
    <cellStyle name="Normal 6" xfId="4" xr:uid="{00000000-0005-0000-0000-000019000000}"/>
    <cellStyle name="Normal 9" xfId="36" xr:uid="{8D7B13D7-0FBC-4488-93D9-6ED80B835AB3}"/>
    <cellStyle name="Virgül [0]_08-01" xfId="24" xr:uid="{00000000-0005-0000-0000-00001C000000}"/>
    <cellStyle name="Virgül 10" xfId="25" xr:uid="{00000000-0005-0000-0000-00001D000000}"/>
    <cellStyle name="Virgül 2" xfId="26" xr:uid="{00000000-0005-0000-0000-00001E000000}"/>
    <cellStyle name="Virgül 3" xfId="27" xr:uid="{00000000-0005-0000-0000-00001F000000}"/>
    <cellStyle name="Virgül 4" xfId="28" xr:uid="{00000000-0005-0000-0000-000020000000}"/>
    <cellStyle name="Virgül 5" xfId="29" xr:uid="{00000000-0005-0000-0000-000021000000}"/>
    <cellStyle name="Virgül 6" xfId="30" xr:uid="{00000000-0005-0000-0000-000022000000}"/>
    <cellStyle name="Virgül 7" xfId="31" xr:uid="{00000000-0005-0000-0000-000023000000}"/>
    <cellStyle name="Virgül 8" xfId="32" xr:uid="{00000000-0005-0000-0000-000024000000}"/>
    <cellStyle name="Virgül 9" xfId="33" xr:uid="{00000000-0005-0000-0000-000025000000}"/>
    <cellStyle name="Yüzde 2" xfId="34" xr:uid="{00000000-0005-0000-0000-000026000000}"/>
  </cellStyles>
  <dxfs count="0"/>
  <tableStyles count="0" defaultTableStyle="TableStyleMedium2" defaultPivotStyle="PivotStyleLight16"/>
  <colors>
    <mruColors>
      <color rgb="FF177D91"/>
      <color rgb="FF368B9C"/>
      <color rgb="FFEA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48" zoomScale="90" zoomScaleNormal="90" workbookViewId="0">
      <selection activeCell="D73" sqref="D73"/>
    </sheetView>
  </sheetViews>
  <sheetFormatPr baseColWidth="10" defaultColWidth="8.83203125" defaultRowHeight="11"/>
  <cols>
    <col min="1" max="1" width="9.5" style="3" bestFit="1" customWidth="1"/>
    <col min="2" max="5" width="15" style="3" customWidth="1"/>
    <col min="6" max="16384" width="8.83203125" style="3"/>
  </cols>
  <sheetData>
    <row r="1" spans="1:5">
      <c r="A1" s="1" t="s">
        <v>5</v>
      </c>
      <c r="B1" s="2" t="s">
        <v>1</v>
      </c>
      <c r="C1" s="3" t="s">
        <v>2</v>
      </c>
      <c r="D1" s="2" t="s">
        <v>3</v>
      </c>
      <c r="E1" s="3" t="s">
        <v>4</v>
      </c>
    </row>
    <row r="2" spans="1:5">
      <c r="A2" s="1">
        <v>44196</v>
      </c>
      <c r="B2" s="2">
        <v>-43238.972999999984</v>
      </c>
      <c r="C2" s="2">
        <f>SUM(B2:B2)</f>
        <v>-43238.972999999984</v>
      </c>
      <c r="D2" s="2">
        <v>-38349.613999999987</v>
      </c>
      <c r="E2" s="2">
        <f>SUM(D2:D2)</f>
        <v>-38349.613999999987</v>
      </c>
    </row>
    <row r="3" spans="1:5">
      <c r="A3" s="1">
        <v>44227</v>
      </c>
      <c r="B3" s="2">
        <v>-24154.212</v>
      </c>
      <c r="C3" s="2">
        <f>SUM(B2:B3)</f>
        <v>-67393.184999999983</v>
      </c>
      <c r="D3" s="2">
        <v>-2211.1739999999991</v>
      </c>
      <c r="E3" s="2">
        <f>SUM(D2:D3)</f>
        <v>-40560.787999999986</v>
      </c>
    </row>
    <row r="4" spans="1:5">
      <c r="A4" s="1">
        <v>44255</v>
      </c>
      <c r="B4" s="2">
        <v>23170.016000000003</v>
      </c>
      <c r="C4" s="2">
        <f>SUM(B2:B4)</f>
        <v>-44223.16899999998</v>
      </c>
      <c r="D4" s="2">
        <v>35926.695000000007</v>
      </c>
      <c r="E4" s="2">
        <f>SUM(D2:D4)</f>
        <v>-4634.0929999999789</v>
      </c>
    </row>
    <row r="5" spans="1:5">
      <c r="A5" s="1">
        <v>44286</v>
      </c>
      <c r="B5" s="2">
        <v>23763.935000000041</v>
      </c>
      <c r="C5" s="2">
        <f>SUM(B2:B5)</f>
        <v>-20459.233999999939</v>
      </c>
      <c r="D5" s="2">
        <v>37992.007000000041</v>
      </c>
      <c r="E5" s="2">
        <f>SUM(D2:D5)</f>
        <v>33357.914000000063</v>
      </c>
    </row>
    <row r="6" spans="1:5">
      <c r="A6" s="1">
        <v>44316</v>
      </c>
      <c r="B6" s="2">
        <v>-16916.959000000003</v>
      </c>
      <c r="C6" s="2">
        <f>SUM(B2:B6)</f>
        <v>-37376.192999999941</v>
      </c>
      <c r="D6" s="2">
        <v>1665.9899999999907</v>
      </c>
      <c r="E6" s="2">
        <f>SUM(D2:D6)</f>
        <v>35023.904000000053</v>
      </c>
    </row>
    <row r="7" spans="1:5">
      <c r="A7" s="1">
        <v>44347</v>
      </c>
      <c r="B7" s="2">
        <v>-13371.464999999997</v>
      </c>
      <c r="C7" s="2">
        <f>SUM(B2:B7)</f>
        <v>-50747.657999999938</v>
      </c>
      <c r="D7" s="2">
        <v>574.875</v>
      </c>
      <c r="E7" s="2">
        <f>SUM(D2:D7)</f>
        <v>35598.779000000053</v>
      </c>
    </row>
    <row r="8" spans="1:5">
      <c r="A8" s="1">
        <v>44377</v>
      </c>
      <c r="B8" s="2">
        <v>-25030.82699999999</v>
      </c>
      <c r="C8" s="2">
        <f>SUM(B2:B8)</f>
        <v>-75778.484999999928</v>
      </c>
      <c r="D8" s="2">
        <v>-15617.784999999989</v>
      </c>
      <c r="E8" s="2">
        <f>SUM(D2:D8)</f>
        <v>19980.994000000064</v>
      </c>
    </row>
    <row r="9" spans="1:5">
      <c r="A9" s="1">
        <v>44408</v>
      </c>
      <c r="B9" s="2">
        <v>-45804.086999999927</v>
      </c>
      <c r="C9" s="2">
        <f>SUM(B2:B9)</f>
        <v>-121582.57199999985</v>
      </c>
      <c r="D9" s="2">
        <v>-22166.464999999938</v>
      </c>
      <c r="E9" s="2">
        <f>SUM(D2:D9)</f>
        <v>-2185.470999999874</v>
      </c>
    </row>
    <row r="10" spans="1:5">
      <c r="A10" s="1">
        <v>44439</v>
      </c>
      <c r="B10" s="2">
        <v>40836.683000000005</v>
      </c>
      <c r="C10" s="2">
        <f>SUM(B2:B10)</f>
        <v>-80745.88899999985</v>
      </c>
      <c r="D10" s="2">
        <v>54493.616999999998</v>
      </c>
      <c r="E10" s="2">
        <f>SUM(D2:D10)</f>
        <v>52308.146000000124</v>
      </c>
    </row>
    <row r="11" spans="1:5">
      <c r="A11" s="1">
        <v>44469</v>
      </c>
      <c r="B11" s="2">
        <v>-23586.091000000015</v>
      </c>
      <c r="C11" s="2">
        <f>SUM(B2:B11)</f>
        <v>-104331.97999999986</v>
      </c>
      <c r="D11" s="2">
        <v>-9477.968000000008</v>
      </c>
      <c r="E11" s="2">
        <f>SUM(D2:D11)</f>
        <v>42830.178000000116</v>
      </c>
    </row>
    <row r="12" spans="1:5">
      <c r="A12" s="1">
        <v>44500</v>
      </c>
      <c r="B12" s="2">
        <v>-17406.409000000043</v>
      </c>
      <c r="C12" s="2">
        <f>SUM(B2:B12)</f>
        <v>-121738.38899999991</v>
      </c>
      <c r="D12" s="2">
        <v>-3106.2120000000286</v>
      </c>
      <c r="E12" s="2">
        <f>SUM(D2:D12)</f>
        <v>39723.966000000088</v>
      </c>
    </row>
    <row r="13" spans="1:5">
      <c r="A13" s="1">
        <v>44530</v>
      </c>
      <c r="B13" s="2">
        <v>31998.917000000016</v>
      </c>
      <c r="C13" s="2">
        <f t="shared" ref="C13:E60" si="0">SUM(B2:B13)</f>
        <v>-89739.471999999892</v>
      </c>
      <c r="D13" s="2">
        <v>47318.452000000005</v>
      </c>
      <c r="E13" s="2">
        <f t="shared" si="0"/>
        <v>87042.418000000092</v>
      </c>
    </row>
    <row r="14" spans="1:5">
      <c r="A14" s="1">
        <v>44561</v>
      </c>
      <c r="B14" s="2">
        <v>-145743.18299999993</v>
      </c>
      <c r="C14" s="2">
        <f t="shared" si="0"/>
        <v>-192243.68199999986</v>
      </c>
      <c r="D14" s="2">
        <v>-136783.44399999993</v>
      </c>
      <c r="E14" s="2">
        <f t="shared" si="0"/>
        <v>-11391.411999999851</v>
      </c>
    </row>
    <row r="15" spans="1:5">
      <c r="A15" s="1">
        <v>44592</v>
      </c>
      <c r="B15" s="2">
        <v>30044</v>
      </c>
      <c r="C15" s="2">
        <f t="shared" si="0"/>
        <v>-138045.46999999986</v>
      </c>
      <c r="D15" s="2">
        <v>44272</v>
      </c>
      <c r="E15" s="2">
        <f t="shared" si="0"/>
        <v>35091.762000000148</v>
      </c>
    </row>
    <row r="16" spans="1:5">
      <c r="A16" s="1">
        <v>44620</v>
      </c>
      <c r="B16" s="2">
        <v>69737</v>
      </c>
      <c r="C16" s="2">
        <f t="shared" si="0"/>
        <v>-91478.485999999859</v>
      </c>
      <c r="D16" s="2">
        <v>113406</v>
      </c>
      <c r="E16" s="2">
        <f t="shared" si="0"/>
        <v>112571.06700000014</v>
      </c>
    </row>
    <row r="17" spans="1:5">
      <c r="A17" s="1">
        <v>44651</v>
      </c>
      <c r="B17" s="2">
        <v>-68972</v>
      </c>
      <c r="C17" s="2">
        <f t="shared" si="0"/>
        <v>-184214.42099999989</v>
      </c>
      <c r="D17" s="2">
        <v>-42034</v>
      </c>
      <c r="E17" s="2">
        <f t="shared" si="0"/>
        <v>32545.0600000001</v>
      </c>
    </row>
    <row r="18" spans="1:5">
      <c r="A18" s="1">
        <v>44681</v>
      </c>
      <c r="B18" s="2">
        <v>-50167</v>
      </c>
      <c r="C18" s="2">
        <f t="shared" si="0"/>
        <v>-217464.46199999988</v>
      </c>
      <c r="D18" s="2">
        <v>-31033</v>
      </c>
      <c r="E18" s="2">
        <f t="shared" si="0"/>
        <v>-153.92999999989115</v>
      </c>
    </row>
    <row r="19" spans="1:5">
      <c r="A19" s="1">
        <v>44682</v>
      </c>
      <c r="B19" s="2">
        <v>143976.69399999999</v>
      </c>
      <c r="C19" s="2">
        <f t="shared" si="0"/>
        <v>-60116.302999999898</v>
      </c>
      <c r="D19" s="2">
        <v>161888.49799999999</v>
      </c>
      <c r="E19" s="2">
        <f t="shared" si="0"/>
        <v>161159.69300000009</v>
      </c>
    </row>
    <row r="20" spans="1:5">
      <c r="A20" s="1">
        <v>44713</v>
      </c>
      <c r="B20" s="2">
        <v>-31059</v>
      </c>
      <c r="C20" s="2">
        <f t="shared" si="0"/>
        <v>-66144.475999999908</v>
      </c>
      <c r="D20" s="2">
        <v>-18290</v>
      </c>
      <c r="E20" s="2">
        <f t="shared" si="0"/>
        <v>158487.47800000009</v>
      </c>
    </row>
    <row r="21" spans="1:5">
      <c r="A21" s="1">
        <v>44743</v>
      </c>
      <c r="B21" s="2">
        <v>-64019</v>
      </c>
      <c r="C21" s="2">
        <f t="shared" si="0"/>
        <v>-84359.388999999996</v>
      </c>
      <c r="D21" s="2">
        <v>-47325</v>
      </c>
      <c r="E21" s="2">
        <f t="shared" si="0"/>
        <v>133328.94300000003</v>
      </c>
    </row>
    <row r="22" spans="1:5">
      <c r="A22" s="1">
        <v>44774</v>
      </c>
      <c r="B22" s="2">
        <v>3586</v>
      </c>
      <c r="C22" s="2">
        <f t="shared" si="0"/>
        <v>-121610.07199999999</v>
      </c>
      <c r="D22" s="2">
        <v>26233</v>
      </c>
      <c r="E22" s="2">
        <f t="shared" si="0"/>
        <v>105068.32600000003</v>
      </c>
    </row>
    <row r="23" spans="1:5">
      <c r="A23" s="1">
        <v>44805</v>
      </c>
      <c r="B23" s="2">
        <v>-78627</v>
      </c>
      <c r="C23" s="2">
        <f t="shared" si="0"/>
        <v>-176650.98099999997</v>
      </c>
      <c r="D23" s="2">
        <v>-45511</v>
      </c>
      <c r="E23" s="2">
        <f t="shared" si="0"/>
        <v>69035.294000000053</v>
      </c>
    </row>
    <row r="24" spans="1:5">
      <c r="A24" s="1">
        <v>44835</v>
      </c>
      <c r="B24" s="2">
        <v>-83254</v>
      </c>
      <c r="C24" s="2">
        <f t="shared" si="0"/>
        <v>-242498.57199999993</v>
      </c>
      <c r="D24" s="2">
        <v>-22110</v>
      </c>
      <c r="E24" s="2">
        <f t="shared" si="0"/>
        <v>50031.506000000052</v>
      </c>
    </row>
    <row r="25" spans="1:5">
      <c r="A25" s="1">
        <v>44867</v>
      </c>
      <c r="B25" s="2">
        <v>108305</v>
      </c>
      <c r="C25" s="2">
        <f t="shared" si="0"/>
        <v>-166192.48899999994</v>
      </c>
      <c r="D25" s="2">
        <v>132708</v>
      </c>
      <c r="E25" s="2">
        <f t="shared" si="0"/>
        <v>135421.05400000006</v>
      </c>
    </row>
    <row r="26" spans="1:5">
      <c r="A26" s="1">
        <v>44899</v>
      </c>
      <c r="B26" s="2">
        <v>-118617</v>
      </c>
      <c r="C26" s="2">
        <f t="shared" si="0"/>
        <v>-139066.30600000001</v>
      </c>
      <c r="D26" s="2">
        <v>-100371</v>
      </c>
      <c r="E26" s="2">
        <f t="shared" si="0"/>
        <v>171833.49800000002</v>
      </c>
    </row>
    <row r="27" spans="1:5">
      <c r="A27" s="1">
        <v>44931</v>
      </c>
      <c r="B27" s="2">
        <v>-32243</v>
      </c>
      <c r="C27" s="2">
        <f t="shared" si="0"/>
        <v>-201353.30600000001</v>
      </c>
      <c r="D27" s="2">
        <v>-10883</v>
      </c>
      <c r="E27" s="2">
        <f t="shared" si="0"/>
        <v>116678.49799999999</v>
      </c>
    </row>
    <row r="28" spans="1:5">
      <c r="A28" s="1">
        <v>44963</v>
      </c>
      <c r="B28" s="2">
        <v>-170560</v>
      </c>
      <c r="C28" s="2">
        <f t="shared" si="0"/>
        <v>-441650.30599999998</v>
      </c>
      <c r="D28" s="2">
        <v>-136337</v>
      </c>
      <c r="E28" s="2">
        <f t="shared" si="0"/>
        <v>-133064.50200000001</v>
      </c>
    </row>
    <row r="29" spans="1:5">
      <c r="A29" s="1">
        <v>44995</v>
      </c>
      <c r="B29" s="2">
        <v>-47223</v>
      </c>
      <c r="C29" s="2">
        <f t="shared" si="0"/>
        <v>-419901.30599999998</v>
      </c>
      <c r="D29" s="2">
        <v>-2148</v>
      </c>
      <c r="E29" s="2">
        <f t="shared" si="0"/>
        <v>-93178.502000000008</v>
      </c>
    </row>
    <row r="30" spans="1:5">
      <c r="A30" s="1">
        <v>45027</v>
      </c>
      <c r="B30" s="2">
        <v>-132471</v>
      </c>
      <c r="C30" s="2">
        <f t="shared" si="0"/>
        <v>-502205.30599999998</v>
      </c>
      <c r="D30" s="2">
        <v>-97974</v>
      </c>
      <c r="E30" s="2">
        <f t="shared" si="0"/>
        <v>-160119.50200000001</v>
      </c>
    </row>
    <row r="31" spans="1:5">
      <c r="A31" s="1">
        <v>45059</v>
      </c>
      <c r="B31" s="2">
        <v>118906</v>
      </c>
      <c r="C31" s="2">
        <f t="shared" si="0"/>
        <v>-527276</v>
      </c>
      <c r="D31" s="2">
        <v>221620</v>
      </c>
      <c r="E31" s="2">
        <f t="shared" si="0"/>
        <v>-100388</v>
      </c>
    </row>
    <row r="32" spans="1:5">
      <c r="A32" s="1">
        <v>45091</v>
      </c>
      <c r="B32" s="2">
        <v>-219637</v>
      </c>
      <c r="C32" s="2">
        <f t="shared" si="0"/>
        <v>-715854</v>
      </c>
      <c r="D32" s="2">
        <v>-182263</v>
      </c>
      <c r="E32" s="2">
        <f t="shared" si="0"/>
        <v>-264361</v>
      </c>
    </row>
    <row r="33" spans="1:5">
      <c r="A33" s="1">
        <v>45123</v>
      </c>
      <c r="B33" s="2">
        <v>48574</v>
      </c>
      <c r="C33" s="2">
        <f t="shared" si="0"/>
        <v>-603261</v>
      </c>
      <c r="D33" s="2">
        <v>86281</v>
      </c>
      <c r="E33" s="2">
        <f t="shared" si="0"/>
        <v>-130755</v>
      </c>
    </row>
    <row r="34" spans="1:5">
      <c r="A34" s="1">
        <v>45155</v>
      </c>
      <c r="B34" s="2">
        <v>51270</v>
      </c>
      <c r="C34" s="2">
        <f t="shared" si="0"/>
        <v>-555577</v>
      </c>
      <c r="D34" s="2">
        <v>138419</v>
      </c>
      <c r="E34" s="2">
        <f t="shared" si="0"/>
        <v>-18569</v>
      </c>
    </row>
    <row r="35" spans="1:5">
      <c r="A35" s="1">
        <v>45187</v>
      </c>
      <c r="B35" s="2">
        <v>-129218</v>
      </c>
      <c r="C35" s="2">
        <f t="shared" si="0"/>
        <v>-606168</v>
      </c>
      <c r="D35" s="2">
        <v>-58454</v>
      </c>
      <c r="E35" s="2">
        <f t="shared" si="0"/>
        <v>-31512</v>
      </c>
    </row>
    <row r="36" spans="1:5">
      <c r="A36" s="1">
        <v>45217</v>
      </c>
      <c r="B36" s="2">
        <v>-95461</v>
      </c>
      <c r="C36" s="2">
        <f t="shared" si="0"/>
        <v>-618375</v>
      </c>
      <c r="D36" s="2">
        <v>-28651</v>
      </c>
      <c r="E36" s="2">
        <f t="shared" si="0"/>
        <v>-38053</v>
      </c>
    </row>
    <row r="37" spans="1:5">
      <c r="A37" s="1">
        <v>45250</v>
      </c>
      <c r="B37" s="2">
        <v>75627</v>
      </c>
      <c r="C37" s="2">
        <f t="shared" si="0"/>
        <v>-651053</v>
      </c>
      <c r="D37" s="2">
        <v>170235</v>
      </c>
      <c r="E37" s="2">
        <f t="shared" si="0"/>
        <v>-526</v>
      </c>
    </row>
    <row r="38" spans="1:5">
      <c r="A38" s="1">
        <v>45283</v>
      </c>
      <c r="B38" s="2">
        <v>-842532</v>
      </c>
      <c r="C38" s="2">
        <f t="shared" si="0"/>
        <v>-1374968</v>
      </c>
      <c r="D38" s="2">
        <v>-800199</v>
      </c>
      <c r="E38" s="2">
        <f t="shared" si="0"/>
        <v>-700354</v>
      </c>
    </row>
    <row r="39" spans="1:5">
      <c r="A39" s="1">
        <v>45316</v>
      </c>
      <c r="B39" s="2">
        <v>-150719</v>
      </c>
      <c r="C39" s="2">
        <f t="shared" si="0"/>
        <v>-1493444</v>
      </c>
      <c r="D39" s="2">
        <v>-29626</v>
      </c>
      <c r="E39" s="2">
        <f t="shared" si="0"/>
        <v>-719097</v>
      </c>
    </row>
    <row r="40" spans="1:5">
      <c r="A40" s="1">
        <v>45349</v>
      </c>
      <c r="B40" s="2">
        <v>-153798</v>
      </c>
      <c r="C40" s="2">
        <f t="shared" si="0"/>
        <v>-1476682</v>
      </c>
      <c r="D40" s="2">
        <v>-98968</v>
      </c>
      <c r="E40" s="2">
        <f t="shared" si="0"/>
        <v>-681728</v>
      </c>
    </row>
    <row r="41" spans="1:5">
      <c r="A41" s="1">
        <v>45382</v>
      </c>
      <c r="B41" s="2">
        <v>-208965</v>
      </c>
      <c r="C41" s="2">
        <f t="shared" si="0"/>
        <v>-1638424</v>
      </c>
      <c r="D41" s="2">
        <v>-134412</v>
      </c>
      <c r="E41" s="2">
        <f t="shared" si="0"/>
        <v>-813992</v>
      </c>
    </row>
    <row r="42" spans="1:5">
      <c r="A42" s="1">
        <v>45412</v>
      </c>
      <c r="B42" s="2">
        <v>-177830</v>
      </c>
      <c r="C42" s="2">
        <f t="shared" si="0"/>
        <v>-1683783</v>
      </c>
      <c r="D42" s="2">
        <v>-63802</v>
      </c>
      <c r="E42" s="2">
        <f t="shared" si="0"/>
        <v>-779820</v>
      </c>
    </row>
    <row r="43" spans="1:5">
      <c r="A43" s="1">
        <v>45443</v>
      </c>
      <c r="B43" s="2">
        <v>219409</v>
      </c>
      <c r="C43" s="2">
        <f t="shared" si="0"/>
        <v>-1583280</v>
      </c>
      <c r="D43" s="2">
        <v>330052</v>
      </c>
      <c r="E43" s="2">
        <f t="shared" si="0"/>
        <v>-671388</v>
      </c>
    </row>
    <row r="44" spans="1:5">
      <c r="A44" s="1">
        <v>45473</v>
      </c>
      <c r="B44" s="2">
        <v>-275280</v>
      </c>
      <c r="C44" s="2">
        <f t="shared" si="0"/>
        <v>-1638923</v>
      </c>
      <c r="D44" s="2">
        <v>-176004</v>
      </c>
      <c r="E44" s="2">
        <f t="shared" si="0"/>
        <v>-665129</v>
      </c>
    </row>
    <row r="45" spans="1:5">
      <c r="A45" s="1">
        <v>45504</v>
      </c>
      <c r="B45" s="2">
        <v>-96776</v>
      </c>
      <c r="C45" s="2">
        <f t="shared" si="0"/>
        <v>-1784273</v>
      </c>
      <c r="D45" s="2">
        <v>-4238</v>
      </c>
      <c r="E45" s="2">
        <f t="shared" si="0"/>
        <v>-755648</v>
      </c>
    </row>
    <row r="46" spans="1:5">
      <c r="A46" s="1">
        <v>45535</v>
      </c>
      <c r="B46" s="2">
        <v>-129594</v>
      </c>
      <c r="C46" s="2">
        <f t="shared" si="0"/>
        <v>-1965137</v>
      </c>
      <c r="D46" s="2">
        <v>-32548</v>
      </c>
      <c r="E46" s="2">
        <f t="shared" si="0"/>
        <v>-926615</v>
      </c>
    </row>
    <row r="47" spans="1:5">
      <c r="A47" s="1">
        <v>45565</v>
      </c>
      <c r="B47" s="2">
        <v>-100464</v>
      </c>
      <c r="C47" s="2">
        <f t="shared" si="0"/>
        <v>-1936383</v>
      </c>
      <c r="D47" s="2">
        <v>48213</v>
      </c>
      <c r="E47" s="2">
        <f t="shared" si="0"/>
        <v>-819948</v>
      </c>
    </row>
    <row r="48" spans="1:5">
      <c r="A48" s="1">
        <v>45596</v>
      </c>
      <c r="B48" s="2">
        <v>-186271</v>
      </c>
      <c r="C48" s="2">
        <f t="shared" si="0"/>
        <v>-2027193</v>
      </c>
      <c r="D48" s="2">
        <v>-50053</v>
      </c>
      <c r="E48" s="2">
        <f t="shared" si="0"/>
        <v>-841350</v>
      </c>
    </row>
    <row r="49" spans="1:5">
      <c r="A49" s="1">
        <v>45626</v>
      </c>
      <c r="B49" s="2">
        <v>-16646</v>
      </c>
      <c r="C49" s="2">
        <f t="shared" si="0"/>
        <v>-2119466</v>
      </c>
      <c r="D49" s="2">
        <v>129652</v>
      </c>
      <c r="E49" s="2">
        <f t="shared" si="0"/>
        <v>-881933</v>
      </c>
    </row>
    <row r="50" spans="1:5">
      <c r="A50" s="1">
        <v>45657</v>
      </c>
      <c r="B50" s="2">
        <v>-829211</v>
      </c>
      <c r="C50" s="2">
        <f t="shared" si="0"/>
        <v>-2106145</v>
      </c>
      <c r="D50" s="2">
        <v>-753958</v>
      </c>
      <c r="E50" s="2">
        <f t="shared" si="0"/>
        <v>-835692</v>
      </c>
    </row>
    <row r="51" spans="1:5">
      <c r="A51" s="1">
        <v>45688</v>
      </c>
      <c r="B51" s="2">
        <v>-139259</v>
      </c>
      <c r="C51" s="2">
        <f t="shared" si="0"/>
        <v>-2094685</v>
      </c>
      <c r="D51" s="2">
        <v>23759</v>
      </c>
      <c r="E51" s="2">
        <f t="shared" si="0"/>
        <v>-782307</v>
      </c>
    </row>
    <row r="52" spans="1:5">
      <c r="A52" s="1">
        <v>45716</v>
      </c>
      <c r="B52" s="2">
        <v>-310092</v>
      </c>
      <c r="C52" s="2">
        <f t="shared" si="0"/>
        <v>-2250979</v>
      </c>
      <c r="D52" s="2">
        <v>-170403</v>
      </c>
      <c r="E52" s="2">
        <f t="shared" si="0"/>
        <v>-853742</v>
      </c>
    </row>
    <row r="53" spans="1:5">
      <c r="A53" s="1">
        <v>45747</v>
      </c>
      <c r="B53" s="2">
        <v>-261466</v>
      </c>
      <c r="C53" s="2">
        <f t="shared" si="0"/>
        <v>-2303480</v>
      </c>
      <c r="D53" s="2">
        <v>-100223</v>
      </c>
      <c r="E53" s="2">
        <f t="shared" si="0"/>
        <v>-819553</v>
      </c>
    </row>
    <row r="54" spans="1:5">
      <c r="A54" s="1">
        <v>45777</v>
      </c>
      <c r="B54" s="2">
        <v>-174714</v>
      </c>
      <c r="C54" s="2">
        <f t="shared" si="0"/>
        <v>-2300364</v>
      </c>
      <c r="D54" s="2">
        <v>85945</v>
      </c>
      <c r="E54" s="2">
        <f t="shared" si="0"/>
        <v>-669806</v>
      </c>
    </row>
    <row r="55" spans="1:5">
      <c r="A55" s="1">
        <v>45808</v>
      </c>
      <c r="B55" s="2">
        <v>235229</v>
      </c>
      <c r="C55" s="2">
        <f t="shared" si="0"/>
        <v>-2284544</v>
      </c>
      <c r="D55" s="2">
        <v>346385</v>
      </c>
      <c r="E55" s="2">
        <f t="shared" si="0"/>
        <v>-653473</v>
      </c>
    </row>
    <row r="56" spans="1:5">
      <c r="A56" s="1">
        <v>45838</v>
      </c>
      <c r="B56" s="2">
        <v>-330176</v>
      </c>
      <c r="C56" s="2">
        <f t="shared" si="0"/>
        <v>-2339440</v>
      </c>
      <c r="D56" s="2">
        <v>-54501</v>
      </c>
      <c r="E56" s="2">
        <f t="shared" si="0"/>
        <v>-531970</v>
      </c>
    </row>
    <row r="57" spans="1:5">
      <c r="A57" s="1">
        <v>45869</v>
      </c>
      <c r="B57" s="2">
        <v>-23862</v>
      </c>
      <c r="C57" s="2">
        <f t="shared" si="0"/>
        <v>-2266526</v>
      </c>
      <c r="D57" s="2">
        <v>110726</v>
      </c>
      <c r="E57" s="2">
        <f t="shared" si="0"/>
        <v>-417006</v>
      </c>
    </row>
    <row r="58" spans="1:5">
      <c r="A58" s="1">
        <v>45900</v>
      </c>
      <c r="B58" s="2">
        <v>96705</v>
      </c>
      <c r="C58" s="2">
        <f>SUM(B47:B58)</f>
        <v>-2040227</v>
      </c>
      <c r="D58" s="2">
        <v>276436</v>
      </c>
      <c r="E58" s="2">
        <f t="shared" si="0"/>
        <v>-108022</v>
      </c>
    </row>
    <row r="59" spans="1:5">
      <c r="A59" s="1">
        <v>45930</v>
      </c>
      <c r="B59" s="2">
        <v>-309643</v>
      </c>
      <c r="C59" s="2">
        <f>SUM(B48:B59)</f>
        <v>-2249406</v>
      </c>
      <c r="D59" s="2">
        <v>-73022</v>
      </c>
      <c r="E59" s="2">
        <f t="shared" si="0"/>
        <v>-229257</v>
      </c>
    </row>
    <row r="60" spans="1:5">
      <c r="A60" s="1">
        <v>45961</v>
      </c>
      <c r="B60" s="2">
        <v>-223199</v>
      </c>
      <c r="C60" s="2">
        <f>SUM(B49:B60)</f>
        <v>-2286334</v>
      </c>
      <c r="D60" s="2">
        <v>-65790</v>
      </c>
      <c r="E60" s="2">
        <f t="shared" si="0"/>
        <v>-244994</v>
      </c>
    </row>
    <row r="61" spans="1:5">
      <c r="A61" s="1">
        <v>45991</v>
      </c>
      <c r="B61" s="2">
        <v>169486.86264800001</v>
      </c>
      <c r="C61" s="2">
        <f>SUM(B50:B61)</f>
        <v>-2100201.137352</v>
      </c>
      <c r="D61" s="2">
        <v>287408.93597799999</v>
      </c>
      <c r="E61" s="2">
        <f>SUM(D50:D61)</f>
        <v>-87237.064022000006</v>
      </c>
    </row>
    <row r="62" spans="1:5">
      <c r="A62" s="1">
        <v>46022</v>
      </c>
      <c r="B62" s="2">
        <v>-528139</v>
      </c>
      <c r="C62" s="2">
        <f>SUM(B51:B62)</f>
        <v>-1799129.137352</v>
      </c>
      <c r="D62" s="2">
        <v>-411468</v>
      </c>
      <c r="E62" s="2">
        <f>SUM(D51:D62)</f>
        <v>255252.93597800005</v>
      </c>
    </row>
    <row r="67" spans="5:6">
      <c r="E67" s="3" t="s">
        <v>0</v>
      </c>
    </row>
    <row r="69" spans="5:6">
      <c r="E69" s="3" t="s">
        <v>0</v>
      </c>
    </row>
    <row r="70" spans="5:6">
      <c r="E70" s="3" t="s">
        <v>0</v>
      </c>
    </row>
    <row r="73" spans="5:6">
      <c r="F73" s="3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Veri_Aylık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1803</dc:creator>
  <cp:lastModifiedBy>Ömer Faruk Özoğul</cp:lastModifiedBy>
  <dcterms:created xsi:type="dcterms:W3CDTF">2021-01-17T09:15:18Z</dcterms:created>
  <dcterms:modified xsi:type="dcterms:W3CDTF">2026-01-19T07:43:07Z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eyIwIjoiSGlzdG9yeSIsIjEiOjAsIjIiOjEsIjMiOjEsIjQiOjEsIjUiOjEsIjYiOjEsIjciOjEsIjgiOjAsIjkiOjEsIjEwIjowLCIxMSI6MCwiMTIiOjB9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eyIwIjoiSGlzdG9yeSIsIjEiOjAsIjIiOjEsIjMiOjEsIjQiOjEsIjUiOjEsIjYiOjEsIjciOjEsIjgiOjAsIjkiOjEsIjEwIjowLCIxMSI6MCwiMTIiOjB9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eyIwIjoiSGlzdG9yeSIsIjEiOjAsIjIiOjEsIjMiOjEsIjQiOjEsIjUiOjEsIjYiOjEsIjciOjEsIjgiOjAsIjkiOjEsIjEwIjowLCIxMSI6MCwiMTIiOjB9</vt:lpwstr>
  </property>
  <property fmtid="{D5CDD505-2E9C-101B-9397-08002B2CF9AE}" pid="8" name="SpreadsheetBuilder_7">
    <vt:lpwstr>eyIwIjoiSGlzdG9yeSIsIjEiOjAsIjIiOjEsIjMiOjEsIjQiOjEsIjUiOjEsIjYiOjEsIjciOjEsIjgiOjAsIjkiOjEsIjEwIjowLCIxMSI6MCwiMTIiOjB9</vt:lpwstr>
  </property>
  <property fmtid="{D5CDD505-2E9C-101B-9397-08002B2CF9AE}" pid="9" name="SpreadsheetBuilder_8">
    <vt:lpwstr>eyIwIjoiSGlzdG9yeSIsIjEiOjAsIjIiOjEsIjMiOjEsIjQiOjEsIjUiOjEsIjYiOjEsIjciOjEsIjgiOjAsIjkiOjEsIjEwIjowLCIxMSI6MCwiMTIiOjB9</vt:lpwstr>
  </property>
  <property fmtid="{D5CDD505-2E9C-101B-9397-08002B2CF9AE}" pid="10" name="MSIP_Label_ce47449c-aead-4773-aea9-0d789a4a6973_Enabled">
    <vt:lpwstr>true</vt:lpwstr>
  </property>
  <property fmtid="{D5CDD505-2E9C-101B-9397-08002B2CF9AE}" pid="11" name="MSIP_Label_ce47449c-aead-4773-aea9-0d789a4a6973_SetDate">
    <vt:lpwstr>2023-09-15T14:02:19Z</vt:lpwstr>
  </property>
  <property fmtid="{D5CDD505-2E9C-101B-9397-08002B2CF9AE}" pid="12" name="MSIP_Label_ce47449c-aead-4773-aea9-0d789a4a6973_Method">
    <vt:lpwstr>Privileged</vt:lpwstr>
  </property>
  <property fmtid="{D5CDD505-2E9C-101B-9397-08002B2CF9AE}" pid="13" name="MSIP_Label_ce47449c-aead-4773-aea9-0d789a4a6973_Name">
    <vt:lpwstr>Internal Use_Does Not Contains Personal Information</vt:lpwstr>
  </property>
  <property fmtid="{D5CDD505-2E9C-101B-9397-08002B2CF9AE}" pid="14" name="MSIP_Label_ce47449c-aead-4773-aea9-0d789a4a6973_SiteId">
    <vt:lpwstr>a71b8764-0a7a-4511-8f04-04867f0718ab</vt:lpwstr>
  </property>
  <property fmtid="{D5CDD505-2E9C-101B-9397-08002B2CF9AE}" pid="15" name="MSIP_Label_ce47449c-aead-4773-aea9-0d789a4a6973_ActionId">
    <vt:lpwstr>b5580701-d017-47d4-9a44-21c2a9ed6b67</vt:lpwstr>
  </property>
  <property fmtid="{D5CDD505-2E9C-101B-9397-08002B2CF9AE}" pid="16" name="MSIP_Label_ce47449c-aead-4773-aea9-0d789a4a6973_ContentBits">
    <vt:lpwstr>0</vt:lpwstr>
  </property>
</Properties>
</file>