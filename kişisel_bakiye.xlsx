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ozogul\Desktop\iş\kişisel\"/>
    </mc:Choice>
  </mc:AlternateContent>
  <xr:revisionPtr revIDLastSave="0" documentId="13_ncr:1_{45329A37-7C5E-4CF6-BD85-C688EC896F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B54" i="1"/>
  <c r="M36" i="1"/>
  <c r="K36" i="1"/>
  <c r="L33" i="1" s="1"/>
  <c r="K34" i="1"/>
  <c r="K33" i="1" s="1"/>
  <c r="K28" i="1"/>
  <c r="K27" i="1" s="1"/>
  <c r="K31" i="1"/>
  <c r="K30" i="1" s="1"/>
  <c r="K35" i="1"/>
  <c r="P14" i="1"/>
  <c r="B53" i="1"/>
  <c r="M14" i="1"/>
  <c r="L14" i="1"/>
  <c r="K14" i="1"/>
  <c r="B47" i="1"/>
  <c r="B45" i="1"/>
  <c r="B43" i="1"/>
  <c r="B34" i="1"/>
  <c r="F31" i="1"/>
  <c r="B31" i="1"/>
  <c r="B32" i="1" s="1"/>
  <c r="K13" i="1"/>
  <c r="L13" i="1"/>
  <c r="M13" i="1"/>
  <c r="P10" i="1"/>
  <c r="P11" i="1" s="1"/>
  <c r="B21" i="1"/>
  <c r="K26" i="1" s="1"/>
  <c r="B10" i="1"/>
  <c r="B11" i="1" s="1"/>
  <c r="B50" i="1"/>
  <c r="K12" i="1"/>
  <c r="L12" i="1"/>
  <c r="M12" i="1"/>
  <c r="K11" i="1"/>
  <c r="L11" i="1"/>
  <c r="M11" i="1"/>
  <c r="B23" i="1"/>
  <c r="K25" i="1" s="1"/>
  <c r="K10" i="1"/>
  <c r="L10" i="1"/>
  <c r="M10" i="1"/>
  <c r="K9" i="1"/>
  <c r="L9" i="1"/>
  <c r="M9" i="1"/>
  <c r="K6" i="1"/>
  <c r="L6" i="1"/>
  <c r="M6" i="1"/>
  <c r="M5" i="1"/>
  <c r="M4" i="1"/>
  <c r="M3" i="1"/>
  <c r="K5" i="1"/>
  <c r="L5" i="1"/>
  <c r="L3" i="1"/>
  <c r="L4" i="1"/>
  <c r="K4" i="1"/>
  <c r="K3" i="1"/>
  <c r="B41" i="1"/>
  <c r="B39" i="1"/>
  <c r="B37" i="1"/>
  <c r="L30" i="1" l="1"/>
  <c r="K29" i="1"/>
  <c r="B48" i="1"/>
  <c r="P13" i="1"/>
  <c r="Q13" i="1" s="1"/>
  <c r="Q10" i="1"/>
  <c r="B26" i="1"/>
  <c r="K24" i="1"/>
  <c r="L25" i="1" s="1"/>
  <c r="Q11" i="1"/>
  <c r="L26" i="1" l="1"/>
  <c r="K23" i="1"/>
  <c r="L35" i="1" l="1"/>
  <c r="L24" i="1"/>
  <c r="L29" i="1"/>
  <c r="L23" i="1"/>
  <c r="L27" i="1"/>
</calcChain>
</file>

<file path=xl/sharedStrings.xml><?xml version="1.0" encoding="utf-8"?>
<sst xmlns="http://schemas.openxmlformats.org/spreadsheetml/2006/main" count="150" uniqueCount="70">
  <si>
    <t>TL</t>
  </si>
  <si>
    <t>Kredi Borcu</t>
  </si>
  <si>
    <t>Dönem içi</t>
  </si>
  <si>
    <t>Gelecek taksitler toplam</t>
  </si>
  <si>
    <t>Altın</t>
  </si>
  <si>
    <t>Kaydi (önceki)</t>
  </si>
  <si>
    <t>Borç toplam</t>
  </si>
  <si>
    <t>Kaydi (ek)</t>
  </si>
  <si>
    <t>Kaydi Toplam</t>
  </si>
  <si>
    <t>Fiziki</t>
  </si>
  <si>
    <t>Bilezik</t>
  </si>
  <si>
    <t>Reşat altın</t>
  </si>
  <si>
    <t>Reşat altın kolyesi (22 ayar)</t>
  </si>
  <si>
    <t>EUR</t>
  </si>
  <si>
    <t>Hisse Senedi</t>
  </si>
  <si>
    <t>TUPRS</t>
  </si>
  <si>
    <t xml:space="preserve">Alış Kuru: </t>
  </si>
  <si>
    <t>Maliyet:</t>
  </si>
  <si>
    <t>Güncel Fiyat:</t>
  </si>
  <si>
    <t>Değer</t>
  </si>
  <si>
    <t>EREGL</t>
  </si>
  <si>
    <t>BIMAS</t>
  </si>
  <si>
    <t>Toplam Hisse Değer</t>
  </si>
  <si>
    <t>TLREFK Sukuk</t>
  </si>
  <si>
    <t>TL Net</t>
  </si>
  <si>
    <t>Altın Değer</t>
  </si>
  <si>
    <t>Has Altın Güncel Alış Kuru:</t>
  </si>
  <si>
    <t>Reşat Altın Güncel Alış Kuru:</t>
  </si>
  <si>
    <t>EUR TL Değer</t>
  </si>
  <si>
    <t>Güncel EUR Kuru:</t>
  </si>
  <si>
    <t>Toplam TL Değer</t>
  </si>
  <si>
    <t>güncelle</t>
  </si>
  <si>
    <t xml:space="preserve"> </t>
  </si>
  <si>
    <t>Güncel Satış Kuru:</t>
  </si>
  <si>
    <t>Değişim (TL)</t>
  </si>
  <si>
    <t>Değişim (%)</t>
  </si>
  <si>
    <t>-</t>
  </si>
  <si>
    <t>Satış Kuru:</t>
  </si>
  <si>
    <t>(haftasonu)</t>
  </si>
  <si>
    <t>Değişim Baştan (%)</t>
  </si>
  <si>
    <t>Enflasyon</t>
  </si>
  <si>
    <t>Fark (Reel Değişim)</t>
  </si>
  <si>
    <t>Setcard</t>
  </si>
  <si>
    <t>Yapı Kredi Borç</t>
  </si>
  <si>
    <t>Portföy Dağılımı</t>
  </si>
  <si>
    <t>Kaydi</t>
  </si>
  <si>
    <t>Döviz</t>
  </si>
  <si>
    <t>Borsa</t>
  </si>
  <si>
    <t>Kıymetli Maden</t>
  </si>
  <si>
    <t>Menkul Kıymetler</t>
  </si>
  <si>
    <t>Sukuk</t>
  </si>
  <si>
    <t>Fonlar</t>
  </si>
  <si>
    <t>Toplam</t>
  </si>
  <si>
    <t>Vadesiz Mevduat</t>
  </si>
  <si>
    <t>TL Karşılığı</t>
  </si>
  <si>
    <t>Oran</t>
  </si>
  <si>
    <t>Gelecek taksitler toplam (YK)</t>
  </si>
  <si>
    <t>Gümüş</t>
  </si>
  <si>
    <t>Gümüş Değer</t>
  </si>
  <si>
    <t>Gümüş (ek)</t>
  </si>
  <si>
    <t>Gümüş Toplam</t>
  </si>
  <si>
    <t>Son Kontrol Edilen Satış Kuru:</t>
  </si>
  <si>
    <t>Toplam Zarar:</t>
  </si>
  <si>
    <t>ASELS</t>
  </si>
  <si>
    <t>THYAO</t>
  </si>
  <si>
    <t>DMLKT</t>
  </si>
  <si>
    <t>Kripto Varlık</t>
  </si>
  <si>
    <t>Ethereum</t>
  </si>
  <si>
    <t>Enflasyon Kümülatif</t>
  </si>
  <si>
    <t>Ana Para Şimdiki Değer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</si>
</sst>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[$€-2]\ * #,##0.00_-;\-[$€-2]\ * #,##0.00_-;_-[$€-2]\ * &quot;-&quot;??_-;_-@_-"/>
    <numFmt numFmtId="165" formatCode="_-* #,##0_-;\-* #,##0_-;_-* &quot;-&quot;??_-;_-@_-"/>
    <numFmt numFmtId="169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44" fontId="0" fillId="0" borderId="0" xfId="0" applyNumberFormat="1"/>
    <xf numFmtId="0" fontId="0" fillId="0" borderId="1" xfId="0" applyBorder="1"/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2" xfId="0" applyBorder="1" applyAlignment="1">
      <alignment horizontal="right"/>
    </xf>
    <xf numFmtId="44" fontId="0" fillId="0" borderId="2" xfId="0" applyNumberFormat="1" applyBorder="1"/>
    <xf numFmtId="0" fontId="0" fillId="0" borderId="3" xfId="0" applyBorder="1" applyAlignment="1">
      <alignment horizontal="right"/>
    </xf>
    <xf numFmtId="44" fontId="0" fillId="2" borderId="0" xfId="0" applyNumberFormat="1" applyFill="1"/>
    <xf numFmtId="0" fontId="0" fillId="0" borderId="7" xfId="0" applyBorder="1" applyAlignment="1">
      <alignment horizontal="right"/>
    </xf>
    <xf numFmtId="44" fontId="0" fillId="2" borderId="7" xfId="0" applyNumberFormat="1" applyFill="1" applyBorder="1"/>
    <xf numFmtId="44" fontId="0" fillId="2" borderId="2" xfId="0" applyNumberFormat="1" applyFill="1" applyBorder="1"/>
    <xf numFmtId="44" fontId="0" fillId="0" borderId="7" xfId="0" applyNumberFormat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4" fontId="0" fillId="0" borderId="11" xfId="0" applyNumberFormat="1" applyBorder="1" applyAlignment="1">
      <alignment vertical="center"/>
    </xf>
    <xf numFmtId="44" fontId="0" fillId="0" borderId="12" xfId="0" applyNumberFormat="1" applyBorder="1" applyAlignment="1">
      <alignment vertical="center"/>
    </xf>
    <xf numFmtId="44" fontId="0" fillId="0" borderId="10" xfId="0" applyNumberFormat="1" applyBorder="1" applyAlignment="1">
      <alignment vertical="center"/>
    </xf>
    <xf numFmtId="2" fontId="0" fillId="0" borderId="11" xfId="0" applyNumberFormat="1" applyBorder="1" applyAlignment="1">
      <alignment vertical="center"/>
    </xf>
    <xf numFmtId="1" fontId="0" fillId="0" borderId="11" xfId="0" applyNumberFormat="1" applyBorder="1" applyAlignment="1">
      <alignment vertical="center"/>
    </xf>
    <xf numFmtId="44" fontId="0" fillId="2" borderId="4" xfId="0" applyNumberFormat="1" applyFill="1" applyBorder="1" applyAlignment="1">
      <alignment vertical="center"/>
    </xf>
    <xf numFmtId="44" fontId="0" fillId="0" borderId="4" xfId="0" applyNumberFormat="1" applyBorder="1" applyAlignment="1">
      <alignment vertical="center"/>
    </xf>
    <xf numFmtId="44" fontId="0" fillId="2" borderId="1" xfId="0" applyNumberFormat="1" applyFill="1" applyBorder="1" applyAlignment="1">
      <alignment vertical="center"/>
    </xf>
    <xf numFmtId="44" fontId="0" fillId="0" borderId="6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65" fontId="0" fillId="0" borderId="10" xfId="1" applyNumberFormat="1" applyFont="1" applyBorder="1" applyAlignment="1">
      <alignment vertical="center"/>
    </xf>
    <xf numFmtId="14" fontId="0" fillId="0" borderId="9" xfId="0" applyNumberFormat="1" applyBorder="1" applyAlignment="1">
      <alignment horizontal="center" vertical="center"/>
    </xf>
    <xf numFmtId="10" fontId="0" fillId="0" borderId="0" xfId="2" applyNumberFormat="1" applyFont="1"/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44" fontId="3" fillId="0" borderId="0" xfId="0" applyNumberFormat="1" applyFont="1"/>
    <xf numFmtId="10" fontId="0" fillId="0" borderId="14" xfId="2" applyNumberFormat="1" applyFont="1" applyBorder="1"/>
    <xf numFmtId="0" fontId="4" fillId="0" borderId="13" xfId="0" applyFont="1" applyBorder="1"/>
    <xf numFmtId="10" fontId="4" fillId="0" borderId="14" xfId="2" applyNumberFormat="1" applyFont="1" applyBorder="1"/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right"/>
    </xf>
    <xf numFmtId="10" fontId="0" fillId="0" borderId="17" xfId="2" applyNumberFormat="1" applyFont="1" applyBorder="1"/>
    <xf numFmtId="0" fontId="0" fillId="0" borderId="21" xfId="0" applyBorder="1"/>
    <xf numFmtId="0" fontId="0" fillId="0" borderId="22" xfId="0" applyBorder="1"/>
    <xf numFmtId="10" fontId="0" fillId="0" borderId="23" xfId="2" applyNumberFormat="1" applyFont="1" applyBorder="1"/>
    <xf numFmtId="0" fontId="0" fillId="0" borderId="11" xfId="0" applyBorder="1" applyAlignment="1">
      <alignment vertical="center"/>
    </xf>
    <xf numFmtId="10" fontId="0" fillId="0" borderId="0" xfId="0" applyNumberFormat="1"/>
    <xf numFmtId="44" fontId="0" fillId="0" borderId="8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4" fontId="5" fillId="0" borderId="3" xfId="0" applyNumberFormat="1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44" fontId="5" fillId="0" borderId="5" xfId="0" applyNumberFormat="1" applyFont="1" applyBorder="1"/>
    <xf numFmtId="44" fontId="0" fillId="0" borderId="0" xfId="0" applyNumberFormat="1" applyBorder="1"/>
    <xf numFmtId="44" fontId="0" fillId="0" borderId="8" xfId="0" applyNumberFormat="1" applyBorder="1" applyAlignment="1">
      <alignment vertical="center"/>
    </xf>
    <xf numFmtId="0" fontId="0" fillId="0" borderId="0" xfId="0" applyBorder="1" applyAlignment="1">
      <alignment horizontal="right"/>
    </xf>
    <xf numFmtId="44" fontId="0" fillId="2" borderId="0" xfId="0" applyNumberFormat="1" applyFill="1" applyBorder="1"/>
    <xf numFmtId="169" fontId="0" fillId="0" borderId="11" xfId="0" applyNumberFormat="1" applyBorder="1" applyAlignment="1">
      <alignment vertical="center"/>
    </xf>
    <xf numFmtId="0" fontId="0" fillId="0" borderId="13" xfId="0" applyFill="1" applyBorder="1" applyAlignment="1">
      <alignment horizontal="right"/>
    </xf>
    <xf numFmtId="0" fontId="6" fillId="0" borderId="13" xfId="0" applyFont="1" applyFill="1" applyBorder="1" applyAlignment="1">
      <alignment horizontal="left"/>
    </xf>
    <xf numFmtId="0" fontId="6" fillId="0" borderId="15" xfId="0" applyFont="1" applyBorder="1"/>
    <xf numFmtId="44" fontId="6" fillId="0" borderId="16" xfId="0" applyNumberFormat="1" applyFont="1" applyBorder="1"/>
    <xf numFmtId="10" fontId="2" fillId="0" borderId="14" xfId="2" applyNumberFormat="1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zoomScale="80" zoomScaleNormal="80" workbookViewId="0">
      <selection activeCell="O14" sqref="O14"/>
    </sheetView>
  </sheetViews>
  <sheetFormatPr defaultRowHeight="14.4" x14ac:dyDescent="0.3"/>
  <cols>
    <col min="1" max="1" width="29.33203125" bestFit="1" customWidth="1"/>
    <col min="2" max="2" width="16.109375" style="3" bestFit="1" customWidth="1"/>
    <col min="3" max="3" width="28" style="2" bestFit="1" customWidth="1"/>
    <col min="4" max="4" width="13.33203125" style="3" bestFit="1" customWidth="1"/>
    <col min="5" max="5" width="13.33203125" style="2" bestFit="1" customWidth="1"/>
    <col min="6" max="6" width="13.33203125" style="3" bestFit="1" customWidth="1"/>
    <col min="7" max="7" width="9" bestFit="1" customWidth="1"/>
    <col min="8" max="8" width="1.6640625" bestFit="1" customWidth="1"/>
    <col min="9" max="9" width="11.21875" bestFit="1" customWidth="1"/>
    <col min="10" max="10" width="16.88671875" bestFit="1" customWidth="1"/>
    <col min="11" max="11" width="16.109375" bestFit="1" customWidth="1"/>
    <col min="12" max="12" width="12.33203125" style="36" bestFit="1" customWidth="1"/>
    <col min="13" max="13" width="19.5546875" bestFit="1" customWidth="1"/>
    <col min="14" max="14" width="12.6640625" bestFit="1" customWidth="1"/>
    <col min="15" max="15" width="18.44140625" bestFit="1" customWidth="1"/>
    <col min="16" max="16" width="21.21875" bestFit="1" customWidth="1"/>
    <col min="17" max="17" width="20" bestFit="1" customWidth="1"/>
  </cols>
  <sheetData>
    <row r="1" spans="1:17" x14ac:dyDescent="0.3">
      <c r="J1" s="37" t="s">
        <v>30</v>
      </c>
      <c r="K1" s="37" t="s">
        <v>34</v>
      </c>
      <c r="L1" s="38" t="s">
        <v>35</v>
      </c>
      <c r="M1" s="37" t="s">
        <v>39</v>
      </c>
      <c r="N1" s="37" t="s">
        <v>40</v>
      </c>
      <c r="O1" s="37" t="s">
        <v>68</v>
      </c>
      <c r="P1" s="37" t="s">
        <v>69</v>
      </c>
      <c r="Q1" s="37" t="s">
        <v>41</v>
      </c>
    </row>
    <row r="2" spans="1:17" x14ac:dyDescent="0.3">
      <c r="A2" s="35">
        <v>46056</v>
      </c>
      <c r="I2" s="1">
        <v>45966</v>
      </c>
      <c r="J2" s="3">
        <v>1959009.9822189996</v>
      </c>
      <c r="K2" t="s">
        <v>36</v>
      </c>
      <c r="L2" s="36" t="s">
        <v>36</v>
      </c>
      <c r="M2" s="36" t="s">
        <v>36</v>
      </c>
      <c r="P2" s="3">
        <v>1959009.9822189996</v>
      </c>
    </row>
    <row r="3" spans="1:17" x14ac:dyDescent="0.3">
      <c r="A3" s="4" t="s">
        <v>0</v>
      </c>
      <c r="B3" s="31">
        <v>41015.980000000003</v>
      </c>
      <c r="C3" s="5" t="s">
        <v>31</v>
      </c>
      <c r="I3" s="1">
        <v>45967</v>
      </c>
      <c r="J3" s="3">
        <v>1969229.4499239998</v>
      </c>
      <c r="K3" s="3">
        <f t="shared" ref="K3:K11" si="0">J3-J2</f>
        <v>10219.467705000192</v>
      </c>
      <c r="L3" s="36">
        <f t="shared" ref="L3:L10" si="1">(J3-J2)/J2</f>
        <v>5.2166491226473734E-3</v>
      </c>
      <c r="M3" s="36">
        <f t="shared" ref="M3:M10" si="2">(J3-$J$2)/$J$2</f>
        <v>5.2166491226473734E-3</v>
      </c>
    </row>
    <row r="4" spans="1:17" x14ac:dyDescent="0.3">
      <c r="A4" s="6" t="s">
        <v>42</v>
      </c>
      <c r="B4" s="29">
        <v>14065.64</v>
      </c>
      <c r="C4" s="8" t="s">
        <v>31</v>
      </c>
      <c r="I4" s="1">
        <v>45971</v>
      </c>
      <c r="J4" s="3">
        <v>1967784.773764</v>
      </c>
      <c r="K4" s="3">
        <f t="shared" si="0"/>
        <v>-1444.676159999799</v>
      </c>
      <c r="L4" s="36">
        <f t="shared" si="1"/>
        <v>-7.3362510399971651E-4</v>
      </c>
      <c r="M4" s="36">
        <f t="shared" si="2"/>
        <v>4.4791969538925253E-3</v>
      </c>
    </row>
    <row r="5" spans="1:17" x14ac:dyDescent="0.3">
      <c r="A5" s="6" t="s">
        <v>1</v>
      </c>
      <c r="B5" s="30"/>
      <c r="C5" s="7"/>
      <c r="I5" s="1">
        <v>45979</v>
      </c>
      <c r="J5" s="3">
        <v>1948022.6062089996</v>
      </c>
      <c r="K5" s="3">
        <f t="shared" si="0"/>
        <v>-19762.1675550004</v>
      </c>
      <c r="L5" s="36">
        <f t="shared" si="1"/>
        <v>-1.0042850121865265E-2</v>
      </c>
      <c r="M5" s="36">
        <f t="shared" si="2"/>
        <v>-5.6086370716469979E-3</v>
      </c>
    </row>
    <row r="6" spans="1:17" x14ac:dyDescent="0.3">
      <c r="A6" s="6" t="s">
        <v>2</v>
      </c>
      <c r="B6" s="29">
        <v>7081.03</v>
      </c>
      <c r="C6" s="8" t="s">
        <v>31</v>
      </c>
      <c r="I6" s="1">
        <v>45988</v>
      </c>
      <c r="J6" s="3">
        <v>1974201.1537850001</v>
      </c>
      <c r="K6" s="3">
        <f t="shared" si="0"/>
        <v>26178.547576000448</v>
      </c>
      <c r="L6" s="36">
        <f t="shared" si="1"/>
        <v>1.3438523502017205E-2</v>
      </c>
      <c r="M6" s="36">
        <f t="shared" si="2"/>
        <v>7.7545146292685944E-3</v>
      </c>
    </row>
    <row r="7" spans="1:17" x14ac:dyDescent="0.3">
      <c r="A7" s="6" t="s">
        <v>43</v>
      </c>
      <c r="B7" s="29">
        <v>2427.4</v>
      </c>
      <c r="C7" s="8"/>
      <c r="I7" s="1"/>
      <c r="J7" s="3"/>
      <c r="K7" s="3"/>
      <c r="M7" s="36"/>
    </row>
    <row r="8" spans="1:17" x14ac:dyDescent="0.3">
      <c r="A8" s="6" t="s">
        <v>56</v>
      </c>
      <c r="B8" s="29">
        <v>3003.86</v>
      </c>
      <c r="C8" s="8" t="s">
        <v>31</v>
      </c>
      <c r="I8" s="1"/>
      <c r="J8" s="3"/>
      <c r="K8" s="3"/>
      <c r="M8" s="36"/>
    </row>
    <row r="9" spans="1:17" x14ac:dyDescent="0.3">
      <c r="A9" s="6" t="s">
        <v>3</v>
      </c>
      <c r="B9" s="29">
        <v>10503.18</v>
      </c>
      <c r="C9" s="8" t="s">
        <v>31</v>
      </c>
      <c r="E9" s="2" t="s">
        <v>32</v>
      </c>
      <c r="I9" s="1">
        <v>45989</v>
      </c>
      <c r="J9" s="3">
        <v>2019472.8319660001</v>
      </c>
      <c r="K9" s="3">
        <f>J9-J6</f>
        <v>45271.678181000054</v>
      </c>
      <c r="L9" s="36">
        <f>(J9-J6)/J6</f>
        <v>2.2931644069908368E-2</v>
      </c>
      <c r="M9" s="36">
        <f t="shared" si="2"/>
        <v>3.0863982468590245E-2</v>
      </c>
    </row>
    <row r="10" spans="1:17" x14ac:dyDescent="0.3">
      <c r="A10" s="6" t="s">
        <v>6</v>
      </c>
      <c r="B10" s="30">
        <f>SUM(B6:B9)</f>
        <v>23015.47</v>
      </c>
      <c r="C10" s="7"/>
      <c r="I10" s="1">
        <v>46000</v>
      </c>
      <c r="J10" s="3">
        <v>1964652.4049759996</v>
      </c>
      <c r="K10" s="3">
        <f t="shared" si="0"/>
        <v>-54820.426990000531</v>
      </c>
      <c r="L10" s="36">
        <f t="shared" si="1"/>
        <v>-2.7145909626638386E-2</v>
      </c>
      <c r="M10" s="36">
        <f t="shared" si="2"/>
        <v>2.8802419631413557E-3</v>
      </c>
      <c r="N10" s="36">
        <v>8.6999999999999994E-3</v>
      </c>
      <c r="O10" s="36"/>
      <c r="P10" s="3">
        <f>$P$2*N10+$P$2</f>
        <v>1976053.369064305</v>
      </c>
      <c r="Q10" s="39">
        <f>J10-P10</f>
        <v>-11400.964088305365</v>
      </c>
    </row>
    <row r="11" spans="1:17" x14ac:dyDescent="0.3">
      <c r="A11" s="9" t="s">
        <v>24</v>
      </c>
      <c r="B11" s="32">
        <f>B3+B4-B10</f>
        <v>32066.15</v>
      </c>
      <c r="C11" s="7"/>
      <c r="I11" s="1">
        <v>46028</v>
      </c>
      <c r="J11" s="3">
        <v>2183633.4068169999</v>
      </c>
      <c r="K11" s="3">
        <f t="shared" si="0"/>
        <v>218981.00184100028</v>
      </c>
      <c r="L11" s="36">
        <f t="shared" ref="L11" si="3">(J11-J10)/J10</f>
        <v>0.11146042999075725</v>
      </c>
      <c r="M11" s="36">
        <f t="shared" ref="M11" si="4">(J11-$J$2)/$J$2</f>
        <v>0.11466170496158777</v>
      </c>
      <c r="N11" s="36">
        <v>7.4999999999999997E-3</v>
      </c>
      <c r="O11" s="36"/>
      <c r="P11" s="3">
        <f>$P$10*N11+$P$10</f>
        <v>1990873.7693322874</v>
      </c>
      <c r="Q11" s="3">
        <f>J11-P11</f>
        <v>192759.63748471253</v>
      </c>
    </row>
    <row r="12" spans="1:17" x14ac:dyDescent="0.3">
      <c r="A12" s="21" t="s">
        <v>4</v>
      </c>
      <c r="B12" s="24"/>
      <c r="C12" s="10"/>
      <c r="D12" s="11"/>
      <c r="E12" s="12"/>
      <c r="I12" s="1">
        <v>46036</v>
      </c>
      <c r="J12" s="3">
        <v>2196876.78828</v>
      </c>
      <c r="K12" s="3">
        <f t="shared" ref="K12" si="5">J12-J11</f>
        <v>13243.381463000085</v>
      </c>
      <c r="L12" s="36">
        <f t="shared" ref="L12" si="6">(J12-J11)/J11</f>
        <v>6.0648373585310104E-3</v>
      </c>
      <c r="M12" s="36">
        <f t="shared" ref="M12" si="7">(J12-$J$2)/$J$2</f>
        <v>0.12142194691196267</v>
      </c>
      <c r="N12" s="36"/>
      <c r="O12" s="36"/>
      <c r="P12" s="3"/>
      <c r="Q12" s="3"/>
    </row>
    <row r="13" spans="1:17" x14ac:dyDescent="0.3">
      <c r="A13" s="22" t="s">
        <v>5</v>
      </c>
      <c r="B13" s="27">
        <v>39.979999999999997</v>
      </c>
      <c r="E13" s="7"/>
      <c r="I13" s="1">
        <v>46056</v>
      </c>
      <c r="J13" s="3">
        <v>2380698.9158240003</v>
      </c>
      <c r="K13" s="3">
        <f>J13-J12</f>
        <v>183822.12754400028</v>
      </c>
      <c r="L13" s="36">
        <f>(J13-J12)/J12</f>
        <v>8.3674300044801364E-2</v>
      </c>
      <c r="M13" s="36">
        <f>(J13-$J$2)/$J$2</f>
        <v>0.21525614337469956</v>
      </c>
      <c r="N13" s="36">
        <v>4.8399999999999999E-2</v>
      </c>
      <c r="O13" s="36"/>
      <c r="P13" s="3">
        <f>$P$11*N13+$P$11</f>
        <v>2087232.0597679701</v>
      </c>
      <c r="Q13" s="3">
        <f>J13-P13</f>
        <v>293466.85605603014</v>
      </c>
    </row>
    <row r="14" spans="1:17" x14ac:dyDescent="0.3">
      <c r="A14" s="22" t="s">
        <v>7</v>
      </c>
      <c r="B14" s="27">
        <v>18.75</v>
      </c>
      <c r="C14" s="2" t="s">
        <v>16</v>
      </c>
      <c r="D14" s="3">
        <v>5421.0507600000001</v>
      </c>
      <c r="E14" s="8"/>
      <c r="I14" s="1">
        <v>46086</v>
      </c>
      <c r="J14" s="3">
        <v>2388187.721595</v>
      </c>
      <c r="K14" s="3">
        <f>J14-J13</f>
        <v>7488.805770999752</v>
      </c>
      <c r="L14" s="36">
        <f>(J14-J13)/J13</f>
        <v>3.1456332933254391E-3</v>
      </c>
      <c r="M14" s="36">
        <f>(J14-$J$2)/$J$2</f>
        <v>0.21907889355921728</v>
      </c>
      <c r="N14" s="36">
        <v>2.9600000000000001E-2</v>
      </c>
      <c r="O14" s="36">
        <v>0.1265</v>
      </c>
      <c r="P14" s="3">
        <f>P2*(1+O14)</f>
        <v>2206824.7449697033</v>
      </c>
      <c r="Q14" s="3">
        <f>J14-P14</f>
        <v>181362.97662529675</v>
      </c>
    </row>
    <row r="15" spans="1:17" x14ac:dyDescent="0.3">
      <c r="A15" s="22" t="s">
        <v>7</v>
      </c>
      <c r="B15" s="27">
        <v>-1.94</v>
      </c>
      <c r="C15" s="2" t="s">
        <v>37</v>
      </c>
      <c r="D15" s="3">
        <v>5164.6499999999996</v>
      </c>
      <c r="E15" s="8" t="s">
        <v>38</v>
      </c>
      <c r="I15" t="s">
        <v>32</v>
      </c>
      <c r="L15" s="36" t="s">
        <v>32</v>
      </c>
    </row>
    <row r="16" spans="1:17" x14ac:dyDescent="0.3">
      <c r="A16" s="22" t="s">
        <v>7</v>
      </c>
      <c r="B16" s="27">
        <v>-4.4400000000000004</v>
      </c>
      <c r="C16" s="2" t="s">
        <v>37</v>
      </c>
      <c r="D16" s="3">
        <v>5626.65</v>
      </c>
      <c r="E16" s="8"/>
      <c r="L16" s="36" t="s">
        <v>32</v>
      </c>
      <c r="Q16" t="s">
        <v>32</v>
      </c>
    </row>
    <row r="17" spans="1:16" x14ac:dyDescent="0.3">
      <c r="A17" s="22" t="s">
        <v>7</v>
      </c>
      <c r="B17" s="27">
        <v>-1.98</v>
      </c>
      <c r="C17" s="2" t="s">
        <v>37</v>
      </c>
      <c r="D17" s="3">
        <v>5682.9889400000002</v>
      </c>
      <c r="E17" s="8"/>
      <c r="P17" t="s">
        <v>32</v>
      </c>
    </row>
    <row r="18" spans="1:16" x14ac:dyDescent="0.3">
      <c r="A18" s="22" t="s">
        <v>7</v>
      </c>
      <c r="B18" s="27">
        <v>-2</v>
      </c>
      <c r="C18" s="2" t="s">
        <v>37</v>
      </c>
      <c r="D18" s="3">
        <v>6110.8224700000001</v>
      </c>
      <c r="E18" s="8"/>
    </row>
    <row r="19" spans="1:16" x14ac:dyDescent="0.3">
      <c r="A19" s="22" t="s">
        <v>7</v>
      </c>
      <c r="B19" s="27">
        <v>-1</v>
      </c>
      <c r="C19" s="2" t="s">
        <v>37</v>
      </c>
      <c r="D19" s="3">
        <v>6385.0551599999999</v>
      </c>
      <c r="E19" s="8"/>
    </row>
    <row r="20" spans="1:16" ht="15" thickBot="1" x14ac:dyDescent="0.35">
      <c r="A20" s="22" t="s">
        <v>7</v>
      </c>
      <c r="B20" s="27">
        <v>-41</v>
      </c>
      <c r="C20" s="2" t="s">
        <v>37</v>
      </c>
      <c r="D20" s="3">
        <v>7326.83655</v>
      </c>
      <c r="E20" s="8"/>
      <c r="G20" t="s">
        <v>32</v>
      </c>
      <c r="O20" t="s">
        <v>32</v>
      </c>
    </row>
    <row r="21" spans="1:16" ht="15" thickBot="1" x14ac:dyDescent="0.35">
      <c r="A21" s="22" t="s">
        <v>8</v>
      </c>
      <c r="B21" s="27">
        <f>SUM(B13:B20)</f>
        <v>6.3700000000000045</v>
      </c>
      <c r="E21" s="7"/>
      <c r="H21" t="s">
        <v>32</v>
      </c>
      <c r="J21" s="55" t="s">
        <v>44</v>
      </c>
      <c r="K21" s="56"/>
      <c r="L21" s="57"/>
      <c r="M21" t="s">
        <v>32</v>
      </c>
    </row>
    <row r="22" spans="1:16" x14ac:dyDescent="0.3">
      <c r="A22" s="22" t="s">
        <v>9</v>
      </c>
      <c r="B22" s="24"/>
      <c r="E22" s="7"/>
      <c r="J22" s="46"/>
      <c r="K22" s="47" t="s">
        <v>54</v>
      </c>
      <c r="L22" s="48" t="s">
        <v>55</v>
      </c>
    </row>
    <row r="23" spans="1:16" x14ac:dyDescent="0.3">
      <c r="A23" s="22" t="s">
        <v>10</v>
      </c>
      <c r="B23" s="28">
        <f>143.2+17</f>
        <v>160.19999999999999</v>
      </c>
      <c r="C23" s="2" t="s">
        <v>26</v>
      </c>
      <c r="D23" s="13">
        <v>7410.73</v>
      </c>
      <c r="E23" s="8" t="s">
        <v>31</v>
      </c>
      <c r="J23" s="41" t="s">
        <v>48</v>
      </c>
      <c r="K23" s="60">
        <f>K24+K32</f>
        <v>1218349.9490719999</v>
      </c>
      <c r="L23" s="42">
        <f>(K23*$L$36)/$K$36</f>
        <v>0.50825199757992101</v>
      </c>
    </row>
    <row r="24" spans="1:16" x14ac:dyDescent="0.3">
      <c r="A24" s="22" t="s">
        <v>11</v>
      </c>
      <c r="B24" s="28">
        <v>1</v>
      </c>
      <c r="C24" s="2" t="s">
        <v>27</v>
      </c>
      <c r="D24" s="13">
        <v>48871</v>
      </c>
      <c r="E24" s="8" t="s">
        <v>31</v>
      </c>
      <c r="J24" s="43" t="s">
        <v>4</v>
      </c>
      <c r="K24" s="60">
        <f>K25+K26</f>
        <v>1218349.9490719999</v>
      </c>
      <c r="L24" s="40">
        <f>(K24*$L$36)/$K$36</f>
        <v>0.50825199757992101</v>
      </c>
      <c r="P24">
        <v>1</v>
      </c>
    </row>
    <row r="25" spans="1:16" x14ac:dyDescent="0.3">
      <c r="A25" s="22" t="s">
        <v>12</v>
      </c>
      <c r="B25" s="28">
        <v>6</v>
      </c>
      <c r="E25" s="7"/>
      <c r="I25" s="3"/>
      <c r="J25" s="44" t="s">
        <v>9</v>
      </c>
      <c r="K25" s="60">
        <f>(B23*0.912*D23)+(D24)+(B25*0.914*D23)</f>
        <v>1172236.8820719998</v>
      </c>
      <c r="L25" s="69">
        <f>K25*P24/K24</f>
        <v>0.96215121358594569</v>
      </c>
      <c r="M25" s="3"/>
    </row>
    <row r="26" spans="1:16" x14ac:dyDescent="0.3">
      <c r="A26" s="23" t="s">
        <v>25</v>
      </c>
      <c r="B26" s="25">
        <f>B21*D26+B23*0.912*D23+B24*D24+B25*0.914*D23</f>
        <v>1218349.9490719999</v>
      </c>
      <c r="C26" s="14" t="s">
        <v>33</v>
      </c>
      <c r="D26" s="15">
        <v>7239.1</v>
      </c>
      <c r="E26" s="8" t="s">
        <v>31</v>
      </c>
      <c r="J26" s="44" t="s">
        <v>45</v>
      </c>
      <c r="K26" s="60">
        <f>B21*D26</f>
        <v>46113.067000000032</v>
      </c>
      <c r="L26" s="69">
        <f>K26*P24/K24</f>
        <v>3.7848786414054279E-2</v>
      </c>
    </row>
    <row r="27" spans="1:16" x14ac:dyDescent="0.3">
      <c r="A27" s="22" t="s">
        <v>57</v>
      </c>
      <c r="B27" s="49">
        <v>1885.91</v>
      </c>
      <c r="C27" s="2" t="s">
        <v>16</v>
      </c>
      <c r="D27" s="3">
        <v>159.24350000000001</v>
      </c>
      <c r="E27" s="52"/>
      <c r="F27" s="54"/>
      <c r="J27" s="41" t="s">
        <v>46</v>
      </c>
      <c r="K27" s="60">
        <f>K28</f>
        <v>118284.50399999999</v>
      </c>
      <c r="L27" s="40">
        <f>(K27*$L$36)/$K$36</f>
        <v>4.9344062013169085E-2</v>
      </c>
    </row>
    <row r="28" spans="1:16" x14ac:dyDescent="0.3">
      <c r="A28" s="22" t="s">
        <v>59</v>
      </c>
      <c r="B28" s="49">
        <v>297.31</v>
      </c>
      <c r="C28" s="2" t="s">
        <v>16</v>
      </c>
      <c r="D28" s="3">
        <v>100.79940000000001</v>
      </c>
      <c r="E28" s="58"/>
      <c r="F28" s="59"/>
      <c r="J28" s="44" t="s">
        <v>13</v>
      </c>
      <c r="K28" s="60">
        <f>B33*D33</f>
        <v>118284.50399999999</v>
      </c>
      <c r="L28" s="40"/>
    </row>
    <row r="29" spans="1:16" x14ac:dyDescent="0.3">
      <c r="A29" s="22" t="s">
        <v>59</v>
      </c>
      <c r="B29" s="49">
        <v>-297.31</v>
      </c>
      <c r="C29" s="2" t="s">
        <v>37</v>
      </c>
      <c r="D29" s="3">
        <v>114.69016000000001</v>
      </c>
      <c r="E29" s="58"/>
      <c r="F29" s="59"/>
      <c r="J29" s="41" t="s">
        <v>47</v>
      </c>
      <c r="K29" s="60">
        <f>B37+B39+B41+B43+B45+B47</f>
        <v>346192.5</v>
      </c>
      <c r="L29" s="40">
        <f>(K29*$L$36)/$K$36</f>
        <v>0.14441912178533581</v>
      </c>
    </row>
    <row r="30" spans="1:16" x14ac:dyDescent="0.3">
      <c r="A30" s="22" t="s">
        <v>59</v>
      </c>
      <c r="B30" s="49">
        <v>-1885.91</v>
      </c>
      <c r="C30" s="2" t="s">
        <v>37</v>
      </c>
      <c r="D30" s="3">
        <v>121.0913</v>
      </c>
      <c r="E30" s="58"/>
      <c r="F30" s="59"/>
      <c r="J30" s="41" t="s">
        <v>49</v>
      </c>
      <c r="K30" s="60">
        <f>K31+K32</f>
        <v>574663.05828300002</v>
      </c>
      <c r="L30" s="40">
        <f>(K30*$L$36)/$K$36</f>
        <v>0.23972886240951524</v>
      </c>
    </row>
    <row r="31" spans="1:16" x14ac:dyDescent="0.3">
      <c r="A31" s="22" t="s">
        <v>60</v>
      </c>
      <c r="B31" s="49">
        <f>SUM(B27:B30)</f>
        <v>0</v>
      </c>
      <c r="C31" s="58"/>
      <c r="D31" s="58"/>
      <c r="E31" s="58" t="s">
        <v>62</v>
      </c>
      <c r="F31" s="59">
        <f>-(B27*D27+B28*D28+B29*D29+B30*D30)</f>
        <v>-67821.753646400059</v>
      </c>
      <c r="J31" s="44" t="s">
        <v>50</v>
      </c>
      <c r="K31" s="60">
        <f>B49*F49/100</f>
        <v>574663.05828300002</v>
      </c>
      <c r="L31" s="40"/>
    </row>
    <row r="32" spans="1:16" x14ac:dyDescent="0.3">
      <c r="A32" s="22" t="s">
        <v>58</v>
      </c>
      <c r="B32" s="24">
        <f>B31*D32</f>
        <v>0</v>
      </c>
      <c r="C32" s="2" t="s">
        <v>61</v>
      </c>
      <c r="D32" s="3">
        <v>118.8095</v>
      </c>
      <c r="E32" s="53" t="s">
        <v>31</v>
      </c>
      <c r="F32" s="51"/>
      <c r="J32" s="44" t="s">
        <v>51</v>
      </c>
      <c r="K32" s="60">
        <v>0</v>
      </c>
      <c r="L32" s="40"/>
    </row>
    <row r="33" spans="1:17" x14ac:dyDescent="0.3">
      <c r="A33" s="21" t="s">
        <v>13</v>
      </c>
      <c r="B33" s="33">
        <v>2320</v>
      </c>
      <c r="C33" s="10" t="s">
        <v>29</v>
      </c>
      <c r="D33" s="16">
        <v>50.984699999999997</v>
      </c>
      <c r="E33" s="8" t="s">
        <v>31</v>
      </c>
      <c r="J33" s="66" t="s">
        <v>66</v>
      </c>
      <c r="K33" s="60">
        <f>K34</f>
        <v>98631.560239999992</v>
      </c>
      <c r="L33" s="40">
        <f>(K33*$L$36)/$K$36</f>
        <v>4.1145557197738956E-2</v>
      </c>
    </row>
    <row r="34" spans="1:17" x14ac:dyDescent="0.3">
      <c r="A34" s="23" t="s">
        <v>28</v>
      </c>
      <c r="B34" s="25">
        <f>B33*D33</f>
        <v>118284.50399999999</v>
      </c>
      <c r="E34" s="7"/>
      <c r="J34" s="65" t="s">
        <v>67</v>
      </c>
      <c r="K34" s="60">
        <f>B53</f>
        <v>98631.560239999992</v>
      </c>
      <c r="L34" s="40"/>
    </row>
    <row r="35" spans="1:17" x14ac:dyDescent="0.3">
      <c r="A35" s="21" t="s">
        <v>14</v>
      </c>
      <c r="B35" s="26"/>
      <c r="C35" s="10"/>
      <c r="D35" s="11"/>
      <c r="E35" s="10"/>
      <c r="F35" s="11"/>
      <c r="G35" s="18"/>
      <c r="J35" s="41" t="s">
        <v>53</v>
      </c>
      <c r="K35" s="60">
        <f>B3</f>
        <v>41015.980000000003</v>
      </c>
      <c r="L35" s="42">
        <f>(K35*$L$36)/$K$36</f>
        <v>1.7110399014319773E-2</v>
      </c>
    </row>
    <row r="36" spans="1:17" ht="15" thickBot="1" x14ac:dyDescent="0.35">
      <c r="A36" s="22" t="s">
        <v>15</v>
      </c>
      <c r="B36" s="28">
        <v>500</v>
      </c>
      <c r="C36" s="2" t="s">
        <v>17</v>
      </c>
      <c r="D36" s="3">
        <v>187.3</v>
      </c>
      <c r="E36" s="2" t="s">
        <v>18</v>
      </c>
      <c r="F36" s="13">
        <v>245.7</v>
      </c>
      <c r="G36" s="8" t="s">
        <v>31</v>
      </c>
      <c r="J36" s="67" t="s">
        <v>52</v>
      </c>
      <c r="K36" s="68">
        <f>K23+K35+K29+K30+K27+K33</f>
        <v>2397137.5515950001</v>
      </c>
      <c r="L36" s="45">
        <v>1</v>
      </c>
      <c r="M36" s="50">
        <f>L23+L27+L29+L30+L35+L33</f>
        <v>0.99999999999999989</v>
      </c>
    </row>
    <row r="37" spans="1:17" x14ac:dyDescent="0.3">
      <c r="A37" s="22" t="s">
        <v>19</v>
      </c>
      <c r="B37" s="24">
        <f>F36*B36</f>
        <v>122850</v>
      </c>
      <c r="G37" s="19"/>
      <c r="K37" t="s">
        <v>32</v>
      </c>
      <c r="L37" t="s">
        <v>32</v>
      </c>
    </row>
    <row r="38" spans="1:17" x14ac:dyDescent="0.3">
      <c r="A38" s="22" t="s">
        <v>20</v>
      </c>
      <c r="B38" s="28">
        <v>2000</v>
      </c>
      <c r="C38" s="2" t="s">
        <v>17</v>
      </c>
      <c r="D38" s="3">
        <v>26.98</v>
      </c>
      <c r="E38" s="2" t="s">
        <v>18</v>
      </c>
      <c r="F38" s="13">
        <v>29.02</v>
      </c>
      <c r="G38" s="8" t="s">
        <v>31</v>
      </c>
      <c r="L38"/>
    </row>
    <row r="39" spans="1:17" x14ac:dyDescent="0.3">
      <c r="A39" s="22" t="s">
        <v>19</v>
      </c>
      <c r="B39" s="24">
        <f>B38*F38</f>
        <v>58040</v>
      </c>
      <c r="G39" s="19"/>
      <c r="J39" t="s">
        <v>32</v>
      </c>
      <c r="L39"/>
    </row>
    <row r="40" spans="1:17" x14ac:dyDescent="0.3">
      <c r="A40" s="22" t="s">
        <v>21</v>
      </c>
      <c r="B40" s="28">
        <v>100</v>
      </c>
      <c r="C40" s="2" t="s">
        <v>17</v>
      </c>
      <c r="D40" s="3">
        <v>547</v>
      </c>
      <c r="E40" s="2" t="s">
        <v>18</v>
      </c>
      <c r="F40" s="13">
        <v>653.5</v>
      </c>
      <c r="G40" s="8" t="s">
        <v>31</v>
      </c>
      <c r="J40" s="50"/>
      <c r="L40"/>
    </row>
    <row r="41" spans="1:17" x14ac:dyDescent="0.3">
      <c r="A41" s="22" t="s">
        <v>19</v>
      </c>
      <c r="B41" s="24">
        <f>B40*F40</f>
        <v>65350</v>
      </c>
      <c r="G41" s="19"/>
      <c r="Q41" t="s">
        <v>32</v>
      </c>
    </row>
    <row r="42" spans="1:17" x14ac:dyDescent="0.3">
      <c r="A42" s="22" t="s">
        <v>63</v>
      </c>
      <c r="B42" s="24">
        <v>90</v>
      </c>
      <c r="C42" s="2" t="s">
        <v>17</v>
      </c>
      <c r="D42" s="3">
        <v>339.75</v>
      </c>
      <c r="E42" s="2" t="s">
        <v>18</v>
      </c>
      <c r="F42" s="13">
        <v>340.25</v>
      </c>
      <c r="G42" s="8" t="s">
        <v>31</v>
      </c>
    </row>
    <row r="43" spans="1:17" x14ac:dyDescent="0.3">
      <c r="A43" s="22" t="s">
        <v>19</v>
      </c>
      <c r="B43" s="24">
        <f>B42*F42</f>
        <v>30622.5</v>
      </c>
      <c r="G43" s="19"/>
    </row>
    <row r="44" spans="1:17" x14ac:dyDescent="0.3">
      <c r="A44" s="22" t="s">
        <v>64</v>
      </c>
      <c r="B44" s="24">
        <v>120</v>
      </c>
      <c r="C44" s="2" t="s">
        <v>17</v>
      </c>
      <c r="D44" s="3">
        <v>289.75</v>
      </c>
      <c r="E44" s="2" t="s">
        <v>18</v>
      </c>
      <c r="F44" s="13">
        <v>289.75</v>
      </c>
      <c r="G44" s="8" t="s">
        <v>31</v>
      </c>
    </row>
    <row r="45" spans="1:17" x14ac:dyDescent="0.3">
      <c r="A45" s="22" t="s">
        <v>19</v>
      </c>
      <c r="B45" s="24">
        <f>B44*F44</f>
        <v>34770</v>
      </c>
      <c r="G45" s="19"/>
    </row>
    <row r="46" spans="1:17" x14ac:dyDescent="0.3">
      <c r="A46" s="22" t="s">
        <v>65</v>
      </c>
      <c r="B46" s="24">
        <v>6000</v>
      </c>
      <c r="C46" s="2" t="s">
        <v>17</v>
      </c>
      <c r="D46" s="3">
        <v>5.75</v>
      </c>
      <c r="E46" s="2" t="s">
        <v>18</v>
      </c>
      <c r="F46" s="13">
        <v>5.76</v>
      </c>
      <c r="G46" s="8" t="s">
        <v>31</v>
      </c>
    </row>
    <row r="47" spans="1:17" x14ac:dyDescent="0.3">
      <c r="A47" s="22" t="s">
        <v>19</v>
      </c>
      <c r="B47" s="24">
        <f>B46*F46</f>
        <v>34560</v>
      </c>
      <c r="G47" s="19"/>
    </row>
    <row r="48" spans="1:17" x14ac:dyDescent="0.3">
      <c r="A48" s="23" t="s">
        <v>22</v>
      </c>
      <c r="B48" s="25">
        <f>B37+B39+B41+B43+B45+B47</f>
        <v>346192.5</v>
      </c>
      <c r="C48" s="14"/>
      <c r="D48" s="17"/>
      <c r="E48" s="14"/>
      <c r="F48" s="17"/>
      <c r="G48" s="20"/>
      <c r="P48" t="s">
        <v>32</v>
      </c>
    </row>
    <row r="49" spans="1:12" x14ac:dyDescent="0.3">
      <c r="A49" s="21" t="s">
        <v>23</v>
      </c>
      <c r="B49" s="34">
        <v>492159</v>
      </c>
      <c r="C49" s="10" t="s">
        <v>17</v>
      </c>
      <c r="D49" s="11">
        <v>101.593</v>
      </c>
      <c r="E49" s="10" t="s">
        <v>18</v>
      </c>
      <c r="F49" s="16">
        <v>116.7637</v>
      </c>
      <c r="G49" s="5" t="s">
        <v>31</v>
      </c>
      <c r="K49" t="s">
        <v>32</v>
      </c>
      <c r="L49"/>
    </row>
    <row r="50" spans="1:12" x14ac:dyDescent="0.3">
      <c r="A50" s="22" t="s">
        <v>19</v>
      </c>
      <c r="B50" s="24">
        <f>B49*F49/100</f>
        <v>574663.05828300002</v>
      </c>
      <c r="C50" s="62"/>
      <c r="D50" s="60"/>
      <c r="E50" s="62"/>
      <c r="F50" s="60"/>
      <c r="G50" s="19"/>
      <c r="L50"/>
    </row>
    <row r="51" spans="1:12" x14ac:dyDescent="0.3">
      <c r="A51" s="21" t="s">
        <v>66</v>
      </c>
      <c r="B51" s="26"/>
      <c r="C51" s="10"/>
      <c r="D51" s="11"/>
      <c r="E51" s="10"/>
      <c r="F51" s="11"/>
      <c r="G51" s="18"/>
      <c r="L51"/>
    </row>
    <row r="52" spans="1:12" x14ac:dyDescent="0.3">
      <c r="A52" s="22" t="s">
        <v>67</v>
      </c>
      <c r="B52" s="64">
        <v>1.0623199999999999</v>
      </c>
      <c r="C52" s="62" t="s">
        <v>17</v>
      </c>
      <c r="D52" s="60">
        <v>94120.16</v>
      </c>
      <c r="E52" s="62" t="s">
        <v>18</v>
      </c>
      <c r="F52" s="63">
        <v>92832</v>
      </c>
      <c r="G52" s="8" t="s">
        <v>31</v>
      </c>
      <c r="L52"/>
    </row>
    <row r="53" spans="1:12" x14ac:dyDescent="0.3">
      <c r="A53" s="23" t="s">
        <v>19</v>
      </c>
      <c r="B53" s="25">
        <f>B52*F52+14.27</f>
        <v>98631.560239999992</v>
      </c>
      <c r="C53" s="14"/>
      <c r="D53" s="17"/>
      <c r="E53" s="14"/>
      <c r="F53" s="17"/>
      <c r="G53" s="20"/>
      <c r="L53"/>
    </row>
    <row r="54" spans="1:12" x14ac:dyDescent="0.3">
      <c r="A54" s="23" t="s">
        <v>30</v>
      </c>
      <c r="B54" s="61">
        <f>B11+B26+B34+B48+B50+B53</f>
        <v>2388187.721595</v>
      </c>
      <c r="H54" t="s">
        <v>32</v>
      </c>
      <c r="I54" t="s">
        <v>32</v>
      </c>
      <c r="L54"/>
    </row>
    <row r="55" spans="1:12" x14ac:dyDescent="0.3">
      <c r="L55"/>
    </row>
    <row r="56" spans="1:12" x14ac:dyDescent="0.3">
      <c r="L56"/>
    </row>
    <row r="57" spans="1:12" x14ac:dyDescent="0.3">
      <c r="L57"/>
    </row>
    <row r="58" spans="1:12" x14ac:dyDescent="0.3">
      <c r="L58"/>
    </row>
    <row r="59" spans="1:12" x14ac:dyDescent="0.3">
      <c r="L59"/>
    </row>
    <row r="60" spans="1:12" x14ac:dyDescent="0.3">
      <c r="L60"/>
    </row>
    <row r="61" spans="1:12" x14ac:dyDescent="0.3">
      <c r="L61"/>
    </row>
    <row r="62" spans="1:12" x14ac:dyDescent="0.3">
      <c r="L62"/>
    </row>
    <row r="63" spans="1:12" x14ac:dyDescent="0.3">
      <c r="L63"/>
    </row>
    <row r="64" spans="1:12" x14ac:dyDescent="0.3">
      <c r="L64"/>
    </row>
    <row r="65" spans="12:12" x14ac:dyDescent="0.3">
      <c r="L65"/>
    </row>
  </sheetData>
  <mergeCells count="1">
    <mergeCell ref="J21:L21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4b21219-29b7-4e26-9c82-e004a622c3af}" enabled="1" method="Standard" siteId="{a71b8764-0a7a-4511-8f04-04867f0718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Özoğul / Kuveyt Türk - Aktif-Pasif Yönetimi Müdürlüğü</dc:creator>
  <cp:lastModifiedBy>Ömer Faruk Özoğul / Kuveyt Türk - Aktif-Pasif Yönetimi</cp:lastModifiedBy>
  <dcterms:created xsi:type="dcterms:W3CDTF">2015-06-05T18:17:20Z</dcterms:created>
  <dcterms:modified xsi:type="dcterms:W3CDTF">2026-03-05T14:23:05Z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b21219-29b7-4e26-9c82-e004a622c3af_Enabled">
    <vt:lpwstr>true</vt:lpwstr>
  </property>
  <property fmtid="{D5CDD505-2E9C-101B-9397-08002B2CF9AE}" pid="3" name="MSIP_Label_e4b21219-29b7-4e26-9c82-e004a622c3af_SetDate">
    <vt:lpwstr>2025-11-05T08:49:09Z</vt:lpwstr>
  </property>
  <property fmtid="{D5CDD505-2E9C-101B-9397-08002B2CF9AE}" pid="4" name="MSIP_Label_e4b21219-29b7-4e26-9c82-e004a622c3af_Method">
    <vt:lpwstr>Standard</vt:lpwstr>
  </property>
  <property fmtid="{D5CDD505-2E9C-101B-9397-08002B2CF9AE}" pid="5" name="MSIP_Label_e4b21219-29b7-4e26-9c82-e004a622c3af_Name">
    <vt:lpwstr>InternalUse_TradeSecret</vt:lpwstr>
  </property>
  <property fmtid="{D5CDD505-2E9C-101B-9397-08002B2CF9AE}" pid="6" name="MSIP_Label_e4b21219-29b7-4e26-9c82-e004a622c3af_SiteId">
    <vt:lpwstr>a71b8764-0a7a-4511-8f04-04867f0718ab</vt:lpwstr>
  </property>
  <property fmtid="{D5CDD505-2E9C-101B-9397-08002B2CF9AE}" pid="7" name="MSIP_Label_e4b21219-29b7-4e26-9c82-e004a622c3af_ActionId">
    <vt:lpwstr>da983242-2f67-4966-9285-462ec1ca124b</vt:lpwstr>
  </property>
  <property fmtid="{D5CDD505-2E9C-101B-9397-08002B2CF9AE}" pid="8" name="MSIP_Label_e4b21219-29b7-4e26-9c82-e004a622c3af_ContentBits">
    <vt:lpwstr>0</vt:lpwstr>
  </property>
  <property fmtid="{D5CDD505-2E9C-101B-9397-08002B2CF9AE}" pid="9" name="MSIP_Label_e4b21219-29b7-4e26-9c82-e004a622c3af_Tag">
    <vt:lpwstr>10, 1, 2, 1</vt:lpwstr>
  </property>
</Properties>
</file>